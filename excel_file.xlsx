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wn00224895\OneDrive - WGS 365\Desktop\datenvalidierung\"/>
    </mc:Choice>
  </mc:AlternateContent>
  <xr:revisionPtr revIDLastSave="0" documentId="13_ncr:1_{A7C580F9-EE1F-4E62-84AA-5886577975C1}" xr6:coauthVersionLast="47" xr6:coauthVersionMax="47" xr10:uidLastSave="{00000000-0000-0000-0000-000000000000}"/>
  <bookViews>
    <workbookView xWindow="28680" yWindow="-120" windowWidth="29040" windowHeight="17520" activeTab="4" xr2:uid="{00000000-000D-0000-FFFF-FFFF00000000}"/>
  </bookViews>
  <sheets>
    <sheet name="List1" sheetId="1" r:id="rId1"/>
    <sheet name="Tabelle1" sheetId="8" r:id="rId2"/>
    <sheet name="Tabelle2" sheetId="3" r:id="rId3"/>
    <sheet name="erlaubt" sheetId="2" r:id="rId4"/>
    <sheet name="convertcsv" sheetId="6" r:id="rId5"/>
    <sheet name="Tabelle3" sheetId="9" r:id="rId6"/>
    <sheet name="Tabelle5" sheetId="7" r:id="rId7"/>
    <sheet name="Tabelle4" sheetId="5" r:id="rId8"/>
    <sheet name="ergebnis" sheetId="4" r:id="rId9"/>
  </sheets>
  <definedNames>
    <definedName name="_xlnm._FilterDatabase" localSheetId="0" hidden="1">List1!$A$1:$H$57</definedName>
    <definedName name="ExterneDaten_1" localSheetId="4" hidden="1">'convertcsv'!$A$1:$G$89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8" i="6" l="1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L58" i="6" l="1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O13" i="6"/>
  <c r="O2" i="6"/>
  <c r="O3" i="6"/>
  <c r="O4" i="6"/>
  <c r="O5" i="6"/>
  <c r="O6" i="6"/>
  <c r="O7" i="6"/>
  <c r="O8" i="6"/>
  <c r="O9" i="6"/>
  <c r="O10" i="6"/>
  <c r="O11" i="6"/>
  <c r="O12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2" i="4"/>
  <c r="G2" i="1"/>
  <c r="J2" i="1" s="1"/>
  <c r="A5" i="3" a="1"/>
  <c r="A5" i="3" s="1"/>
  <c r="A6" i="3" a="1"/>
  <c r="A6" i="3" s="1"/>
  <c r="A7" i="3" a="1"/>
  <c r="A7" i="3" s="1"/>
  <c r="A8" i="3" a="1"/>
  <c r="A8" i="3" s="1"/>
  <c r="A9" i="3" a="1"/>
  <c r="A9" i="3" s="1"/>
  <c r="A18" i="3" a="1"/>
  <c r="A18" i="3" s="1"/>
  <c r="A20" i="3" a="1"/>
  <c r="A20" i="3" s="1"/>
  <c r="A21" i="3" a="1"/>
  <c r="A21" i="3" s="1"/>
  <c r="A23" i="3" a="1"/>
  <c r="A23" i="3" s="1"/>
  <c r="A27" i="3" a="1"/>
  <c r="A27" i="3" s="1"/>
  <c r="A28" i="3" a="1"/>
  <c r="A28" i="3" s="1"/>
  <c r="A29" i="3" a="1"/>
  <c r="A29" i="3" s="1"/>
  <c r="A30" i="3" a="1"/>
  <c r="A30" i="3" s="1"/>
  <c r="A31" i="3" a="1"/>
  <c r="A31" i="3" s="1"/>
  <c r="A32" i="3" a="1"/>
  <c r="A32" i="3" s="1"/>
  <c r="A33" i="3" a="1"/>
  <c r="A33" i="3" s="1"/>
  <c r="A34" i="3" a="1"/>
  <c r="A34" i="3" s="1"/>
  <c r="A35" i="3" a="1"/>
  <c r="A35" i="3" s="1"/>
  <c r="G3" i="1"/>
  <c r="A39" i="3" s="1" a="1"/>
  <c r="A39" i="3" s="1"/>
  <c r="A40" i="3" a="1"/>
  <c r="A40" i="3" s="1"/>
  <c r="A41" i="3" a="1"/>
  <c r="A41" i="3" s="1"/>
  <c r="A42" i="3" a="1"/>
  <c r="A42" i="3" s="1"/>
  <c r="A43" i="3" a="1"/>
  <c r="A43" i="3" s="1"/>
  <c r="A44" i="3" a="1"/>
  <c r="A44" i="3" s="1"/>
  <c r="A45" i="3" a="1"/>
  <c r="A45" i="3" s="1"/>
  <c r="A46" i="3" a="1"/>
  <c r="A46" i="3" s="1"/>
  <c r="A47" i="3" a="1"/>
  <c r="A47" i="3" s="1"/>
  <c r="G4" i="1"/>
  <c r="H4" i="1" s="1"/>
  <c r="A51" i="3" a="1"/>
  <c r="A51" i="3" s="1"/>
  <c r="A52" i="3" a="1"/>
  <c r="A52" i="3" s="1"/>
  <c r="A53" i="3" a="1"/>
  <c r="A53" i="3" s="1"/>
  <c r="A54" i="3" a="1"/>
  <c r="A54" i="3" s="1"/>
  <c r="A59" i="3" a="1"/>
  <c r="A59" i="3" s="1"/>
  <c r="G5" i="1"/>
  <c r="I5" i="1" s="1"/>
  <c r="G6" i="1"/>
  <c r="I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A71" i="3" a="1"/>
  <c r="A71" i="3" s="1"/>
  <c r="G14" i="1"/>
  <c r="A72" i="3" s="1" a="1"/>
  <c r="A72" i="3" s="1"/>
  <c r="G15" i="1"/>
  <c r="A73" i="3" s="1" a="1"/>
  <c r="A73" i="3" s="1"/>
  <c r="G16" i="1"/>
  <c r="H16" i="1" s="1"/>
  <c r="G17" i="1"/>
  <c r="H17" i="1" s="1"/>
  <c r="A83" i="3" a="1"/>
  <c r="A83" i="3" s="1"/>
  <c r="A84" i="3" a="1"/>
  <c r="A84" i="3" s="1"/>
  <c r="G18" i="1"/>
  <c r="I18" i="1" s="1"/>
  <c r="G19" i="1"/>
  <c r="H19" i="1" s="1"/>
  <c r="G20" i="1"/>
  <c r="I20" i="1" s="1"/>
  <c r="G21" i="1"/>
  <c r="I21" i="1" s="1"/>
  <c r="G22" i="1"/>
  <c r="I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A107" i="3" s="1" a="1"/>
  <c r="A107" i="3" s="1"/>
  <c r="G32" i="1"/>
  <c r="I32" i="1" s="1"/>
  <c r="G33" i="1"/>
  <c r="I33" i="1" s="1"/>
  <c r="G34" i="1"/>
  <c r="H34" i="1" s="1"/>
  <c r="G35" i="1"/>
  <c r="A119" i="3" s="1" a="1"/>
  <c r="A119" i="3" s="1"/>
  <c r="G36" i="1"/>
  <c r="I36" i="1" s="1"/>
  <c r="G37" i="1"/>
  <c r="I37" i="1" s="1"/>
  <c r="G38" i="1"/>
  <c r="H38" i="1" s="1"/>
  <c r="A131" i="3" a="1"/>
  <c r="A131" i="3" s="1"/>
  <c r="G39" i="1"/>
  <c r="I39" i="1" s="1"/>
  <c r="G40" i="1"/>
  <c r="I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I46" i="1" s="1"/>
  <c r="A144" i="3" a="1"/>
  <c r="A144" i="3" s="1"/>
  <c r="A145" i="3" a="1"/>
  <c r="A145" i="3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A155" i="3" a="1"/>
  <c r="A155" i="3" s="1"/>
  <c r="G53" i="1"/>
  <c r="A156" i="3" s="1" a="1"/>
  <c r="A156" i="3" s="1"/>
  <c r="G54" i="1"/>
  <c r="I54" i="1" s="1"/>
  <c r="G55" i="1"/>
  <c r="H55" i="1" s="1"/>
  <c r="G56" i="1"/>
  <c r="H56" i="1" s="1"/>
  <c r="G57" i="1"/>
  <c r="H57" i="1" s="1"/>
  <c r="A1" i="3" a="1"/>
  <c r="A1" i="3" s="1"/>
  <c r="N53" i="6" l="1"/>
  <c r="P53" i="6"/>
  <c r="N41" i="6"/>
  <c r="P41" i="6"/>
  <c r="N29" i="6"/>
  <c r="P29" i="6"/>
  <c r="N17" i="6"/>
  <c r="P17" i="6"/>
  <c r="N4" i="6"/>
  <c r="P4" i="6"/>
  <c r="N52" i="6"/>
  <c r="P52" i="6"/>
  <c r="N40" i="6"/>
  <c r="P40" i="6"/>
  <c r="N28" i="6"/>
  <c r="P28" i="6"/>
  <c r="L16" i="6"/>
  <c r="P16" i="6"/>
  <c r="N3" i="6"/>
  <c r="P3" i="6"/>
  <c r="N51" i="6"/>
  <c r="P51" i="6"/>
  <c r="N39" i="6"/>
  <c r="P39" i="6"/>
  <c r="N27" i="6"/>
  <c r="P27" i="6"/>
  <c r="N15" i="6"/>
  <c r="P15" i="6"/>
  <c r="N2" i="6"/>
  <c r="P2" i="6"/>
  <c r="N49" i="6"/>
  <c r="P49" i="6"/>
  <c r="N37" i="6"/>
  <c r="P37" i="6"/>
  <c r="N25" i="6"/>
  <c r="P25" i="6"/>
  <c r="N12" i="6"/>
  <c r="P12" i="6"/>
  <c r="N13" i="6"/>
  <c r="P13" i="6"/>
  <c r="N48" i="6"/>
  <c r="P48" i="6"/>
  <c r="N36" i="6"/>
  <c r="P36" i="6"/>
  <c r="N24" i="6"/>
  <c r="P24" i="6"/>
  <c r="N11" i="6"/>
  <c r="P11" i="6"/>
  <c r="N14" i="6"/>
  <c r="P14" i="6"/>
  <c r="N47" i="6"/>
  <c r="P47" i="6"/>
  <c r="N35" i="6"/>
  <c r="P35" i="6"/>
  <c r="N23" i="6"/>
  <c r="P23" i="6"/>
  <c r="N10" i="6"/>
  <c r="P10" i="6"/>
  <c r="N26" i="6"/>
  <c r="P26" i="6"/>
  <c r="N46" i="6"/>
  <c r="P46" i="6"/>
  <c r="N34" i="6"/>
  <c r="P34" i="6"/>
  <c r="N22" i="6"/>
  <c r="P22" i="6"/>
  <c r="N9" i="6"/>
  <c r="P9" i="6"/>
  <c r="N38" i="6"/>
  <c r="P38" i="6"/>
  <c r="N57" i="6"/>
  <c r="P57" i="6"/>
  <c r="L45" i="6"/>
  <c r="P45" i="6"/>
  <c r="N33" i="6"/>
  <c r="P33" i="6"/>
  <c r="N21" i="6"/>
  <c r="P21" i="6"/>
  <c r="L8" i="6"/>
  <c r="P8" i="6"/>
  <c r="N50" i="6"/>
  <c r="P50" i="6"/>
  <c r="N56" i="6"/>
  <c r="P56" i="6"/>
  <c r="N44" i="6"/>
  <c r="P44" i="6"/>
  <c r="N32" i="6"/>
  <c r="P32" i="6"/>
  <c r="N20" i="6"/>
  <c r="P20" i="6"/>
  <c r="N7" i="6"/>
  <c r="P7" i="6"/>
  <c r="N55" i="6"/>
  <c r="P55" i="6"/>
  <c r="N43" i="6"/>
  <c r="P43" i="6"/>
  <c r="N31" i="6"/>
  <c r="P31" i="6"/>
  <c r="N19" i="6"/>
  <c r="P19" i="6"/>
  <c r="N6" i="6"/>
  <c r="P6" i="6"/>
  <c r="N54" i="6"/>
  <c r="P54" i="6"/>
  <c r="N42" i="6"/>
  <c r="P42" i="6"/>
  <c r="N30" i="6"/>
  <c r="P30" i="6"/>
  <c r="N18" i="6"/>
  <c r="P18" i="6"/>
  <c r="N5" i="6"/>
  <c r="P5" i="6"/>
  <c r="L49" i="6"/>
  <c r="L25" i="6"/>
  <c r="L13" i="6"/>
  <c r="L4" i="6"/>
  <c r="N16" i="6"/>
  <c r="L55" i="6"/>
  <c r="L43" i="6"/>
  <c r="L31" i="6"/>
  <c r="L19" i="6"/>
  <c r="L7" i="6"/>
  <c r="N8" i="6"/>
  <c r="L54" i="6"/>
  <c r="L42" i="6"/>
  <c r="L30" i="6"/>
  <c r="L18" i="6"/>
  <c r="L6" i="6"/>
  <c r="L37" i="6"/>
  <c r="L53" i="6"/>
  <c r="L41" i="6"/>
  <c r="L29" i="6"/>
  <c r="L17" i="6"/>
  <c r="L5" i="6"/>
  <c r="L52" i="6"/>
  <c r="L51" i="6"/>
  <c r="L39" i="6"/>
  <c r="L27" i="6"/>
  <c r="L15" i="6"/>
  <c r="L3" i="6"/>
  <c r="L40" i="6"/>
  <c r="L28" i="6"/>
  <c r="L50" i="6"/>
  <c r="L38" i="6"/>
  <c r="L26" i="6"/>
  <c r="L14" i="6"/>
  <c r="L2" i="6"/>
  <c r="L48" i="6"/>
  <c r="L36" i="6"/>
  <c r="L24" i="6"/>
  <c r="L12" i="6"/>
  <c r="L47" i="6"/>
  <c r="L35" i="6"/>
  <c r="L23" i="6"/>
  <c r="L11" i="6"/>
  <c r="N45" i="6"/>
  <c r="L46" i="6"/>
  <c r="L34" i="6"/>
  <c r="L22" i="6"/>
  <c r="L10" i="6"/>
  <c r="L57" i="6"/>
  <c r="L33" i="6"/>
  <c r="L21" i="6"/>
  <c r="L9" i="6"/>
  <c r="L56" i="6"/>
  <c r="L44" i="6"/>
  <c r="L32" i="6"/>
  <c r="L20" i="6"/>
  <c r="I42" i="1"/>
  <c r="I30" i="1"/>
  <c r="I53" i="1"/>
  <c r="I41" i="1"/>
  <c r="I29" i="1"/>
  <c r="I17" i="1"/>
  <c r="I52" i="1"/>
  <c r="I28" i="1"/>
  <c r="I16" i="1"/>
  <c r="I4" i="1"/>
  <c r="I51" i="1"/>
  <c r="I27" i="1"/>
  <c r="I15" i="1"/>
  <c r="I3" i="1"/>
  <c r="I50" i="1"/>
  <c r="I38" i="1"/>
  <c r="I26" i="1"/>
  <c r="I14" i="1"/>
  <c r="I49" i="1"/>
  <c r="I25" i="1"/>
  <c r="I13" i="1"/>
  <c r="I48" i="1"/>
  <c r="I24" i="1"/>
  <c r="I12" i="1"/>
  <c r="H2" i="1"/>
  <c r="I47" i="1"/>
  <c r="I35" i="1"/>
  <c r="I23" i="1"/>
  <c r="I11" i="1"/>
  <c r="I2" i="1"/>
  <c r="I34" i="1"/>
  <c r="I10" i="1"/>
  <c r="I57" i="1"/>
  <c r="I45" i="1"/>
  <c r="I9" i="1"/>
  <c r="I56" i="1"/>
  <c r="I44" i="1"/>
  <c r="I8" i="1"/>
  <c r="I55" i="1"/>
  <c r="I43" i="1"/>
  <c r="I31" i="1"/>
  <c r="I19" i="1"/>
  <c r="I7" i="1"/>
  <c r="A97" i="3" a="1"/>
  <c r="A97" i="3" s="1"/>
  <c r="A85" i="3" a="1"/>
  <c r="A85" i="3" s="1"/>
  <c r="A15" i="3" a="1"/>
  <c r="A15" i="3" s="1"/>
  <c r="A109" i="3" a="1"/>
  <c r="A109" i="3" s="1"/>
  <c r="A96" i="3" a="1"/>
  <c r="A96" i="3" s="1"/>
  <c r="A95" i="3" a="1"/>
  <c r="A95" i="3" s="1"/>
  <c r="A121" i="3" a="1"/>
  <c r="A121" i="3" s="1"/>
  <c r="A61" i="3" a="1"/>
  <c r="A61" i="3" s="1"/>
  <c r="A132" i="3" a="1"/>
  <c r="A132" i="3" s="1"/>
  <c r="A120" i="3" a="1"/>
  <c r="A120" i="3" s="1"/>
  <c r="A11" i="3" a="1"/>
  <c r="A11" i="3" s="1"/>
  <c r="A22" i="3" a="1"/>
  <c r="A22" i="3" s="1"/>
  <c r="A49" i="3" a="1"/>
  <c r="A49" i="3" s="1"/>
  <c r="A248" i="3" a="1"/>
  <c r="A248" i="3" s="1"/>
  <c r="A236" i="3" a="1"/>
  <c r="A236" i="3" s="1"/>
  <c r="A224" i="3" a="1"/>
  <c r="A224" i="3" s="1"/>
  <c r="A212" i="3" a="1"/>
  <c r="A212" i="3" s="1"/>
  <c r="A200" i="3" a="1"/>
  <c r="A200" i="3" s="1"/>
  <c r="A188" i="3" a="1"/>
  <c r="A188" i="3" s="1"/>
  <c r="A176" i="3" a="1"/>
  <c r="A176" i="3" s="1"/>
  <c r="A143" i="3" a="1"/>
  <c r="A143" i="3" s="1"/>
  <c r="A157" i="3" a="1"/>
  <c r="A157" i="3" s="1"/>
  <c r="A133" i="3" a="1"/>
  <c r="A133" i="3" s="1"/>
  <c r="A48" i="3" a="1"/>
  <c r="A48" i="3" s="1"/>
  <c r="A247" i="3" a="1"/>
  <c r="A247" i="3" s="1"/>
  <c r="A235" i="3" a="1"/>
  <c r="A235" i="3" s="1"/>
  <c r="A223" i="3" a="1"/>
  <c r="A223" i="3" s="1"/>
  <c r="A211" i="3" a="1"/>
  <c r="A211" i="3" s="1"/>
  <c r="A199" i="3" a="1"/>
  <c r="A199" i="3" s="1"/>
  <c r="A187" i="3" a="1"/>
  <c r="A187" i="3" s="1"/>
  <c r="A175" i="3" a="1"/>
  <c r="A175" i="3" s="1"/>
  <c r="A108" i="3" a="1"/>
  <c r="A108" i="3" s="1"/>
  <c r="A60" i="3" a="1"/>
  <c r="A60" i="3" s="1"/>
  <c r="A38" i="3" a="1"/>
  <c r="A38" i="3" s="1"/>
  <c r="A246" i="3" a="1"/>
  <c r="A246" i="3" s="1"/>
  <c r="A234" i="3" a="1"/>
  <c r="A234" i="3" s="1"/>
  <c r="A222" i="3" a="1"/>
  <c r="A222" i="3" s="1"/>
  <c r="A210" i="3" a="1"/>
  <c r="A210" i="3" s="1"/>
  <c r="A198" i="3" a="1"/>
  <c r="A198" i="3" s="1"/>
  <c r="A186" i="3" a="1"/>
  <c r="A186" i="3" s="1"/>
  <c r="A174" i="3" a="1"/>
  <c r="A174" i="3" s="1"/>
  <c r="A36" i="3" a="1"/>
  <c r="A36" i="3" s="1"/>
  <c r="A245" i="3" a="1"/>
  <c r="A245" i="3" s="1"/>
  <c r="A233" i="3" a="1"/>
  <c r="A233" i="3" s="1"/>
  <c r="A221" i="3" a="1"/>
  <c r="A221" i="3" s="1"/>
  <c r="A209" i="3" a="1"/>
  <c r="A209" i="3" s="1"/>
  <c r="A197" i="3" a="1"/>
  <c r="A197" i="3" s="1"/>
  <c r="A185" i="3" a="1"/>
  <c r="A185" i="3" s="1"/>
  <c r="A173" i="3" a="1"/>
  <c r="A173" i="3" s="1"/>
  <c r="A37" i="3" a="1"/>
  <c r="A37" i="3" s="1"/>
  <c r="A26" i="3" a="1"/>
  <c r="A26" i="3" s="1"/>
  <c r="A244" i="3" a="1"/>
  <c r="A244" i="3" s="1"/>
  <c r="A232" i="3" a="1"/>
  <c r="A232" i="3" s="1"/>
  <c r="A220" i="3" a="1"/>
  <c r="A220" i="3" s="1"/>
  <c r="A208" i="3" a="1"/>
  <c r="A208" i="3" s="1"/>
  <c r="A196" i="3" a="1"/>
  <c r="A196" i="3" s="1"/>
  <c r="A184" i="3" a="1"/>
  <c r="A184" i="3" s="1"/>
  <c r="A172" i="3" a="1"/>
  <c r="A172" i="3" s="1"/>
  <c r="A25" i="3" a="1"/>
  <c r="A25" i="3" s="1"/>
  <c r="A243" i="3" a="1"/>
  <c r="A243" i="3" s="1"/>
  <c r="A231" i="3" a="1"/>
  <c r="A231" i="3" s="1"/>
  <c r="A219" i="3" a="1"/>
  <c r="A219" i="3" s="1"/>
  <c r="A207" i="3" a="1"/>
  <c r="A207" i="3" s="1"/>
  <c r="A195" i="3" a="1"/>
  <c r="A195" i="3" s="1"/>
  <c r="A183" i="3" a="1"/>
  <c r="A183" i="3" s="1"/>
  <c r="A171" i="3" a="1"/>
  <c r="A171" i="3" s="1"/>
  <c r="A24" i="3" a="1"/>
  <c r="A24" i="3" s="1"/>
  <c r="A242" i="3" a="1"/>
  <c r="A242" i="3" s="1"/>
  <c r="A230" i="3" a="1"/>
  <c r="A230" i="3" s="1"/>
  <c r="A218" i="3" a="1"/>
  <c r="A218" i="3" s="1"/>
  <c r="A206" i="3" a="1"/>
  <c r="A206" i="3" s="1"/>
  <c r="A194" i="3" a="1"/>
  <c r="A194" i="3" s="1"/>
  <c r="A182" i="3" a="1"/>
  <c r="A182" i="3" s="1"/>
  <c r="A170" i="3" a="1"/>
  <c r="A170" i="3" s="1"/>
  <c r="A19" i="3" a="1"/>
  <c r="A19" i="3" s="1"/>
  <c r="A14" i="3" a="1"/>
  <c r="A14" i="3" s="1"/>
  <c r="A241" i="3" a="1"/>
  <c r="A241" i="3" s="1"/>
  <c r="A229" i="3" a="1"/>
  <c r="A229" i="3" s="1"/>
  <c r="A217" i="3" a="1"/>
  <c r="A217" i="3" s="1"/>
  <c r="A205" i="3" a="1"/>
  <c r="A205" i="3" s="1"/>
  <c r="A193" i="3" a="1"/>
  <c r="A193" i="3" s="1"/>
  <c r="A181" i="3" a="1"/>
  <c r="A181" i="3" s="1"/>
  <c r="A169" i="3" a="1"/>
  <c r="A169" i="3" s="1"/>
  <c r="A13" i="3" a="1"/>
  <c r="A13" i="3" s="1"/>
  <c r="A240" i="3" a="1"/>
  <c r="A240" i="3" s="1"/>
  <c r="A228" i="3" a="1"/>
  <c r="A228" i="3" s="1"/>
  <c r="A216" i="3" a="1"/>
  <c r="A216" i="3" s="1"/>
  <c r="A204" i="3" a="1"/>
  <c r="A204" i="3" s="1"/>
  <c r="A192" i="3" a="1"/>
  <c r="A192" i="3" s="1"/>
  <c r="A180" i="3" a="1"/>
  <c r="A180" i="3" s="1"/>
  <c r="A168" i="3" a="1"/>
  <c r="A168" i="3" s="1"/>
  <c r="A17" i="3" a="1"/>
  <c r="A17" i="3" s="1"/>
  <c r="A12" i="3" a="1"/>
  <c r="A12" i="3" s="1"/>
  <c r="A239" i="3" a="1"/>
  <c r="A239" i="3" s="1"/>
  <c r="A227" i="3" a="1"/>
  <c r="A227" i="3" s="1"/>
  <c r="A215" i="3" a="1"/>
  <c r="A215" i="3" s="1"/>
  <c r="A203" i="3" a="1"/>
  <c r="A203" i="3" s="1"/>
  <c r="A191" i="3" a="1"/>
  <c r="A191" i="3" s="1"/>
  <c r="A179" i="3" a="1"/>
  <c r="A179" i="3" s="1"/>
  <c r="A167" i="3" a="1"/>
  <c r="A167" i="3" s="1"/>
  <c r="A16" i="3" a="1"/>
  <c r="A16" i="3" s="1"/>
  <c r="A4" i="3" a="1"/>
  <c r="A4" i="3" s="1"/>
  <c r="A2" i="3" a="1"/>
  <c r="A2" i="3" s="1"/>
  <c r="A238" i="3" a="1"/>
  <c r="A238" i="3" s="1"/>
  <c r="A226" i="3" a="1"/>
  <c r="A226" i="3" s="1"/>
  <c r="A214" i="3" a="1"/>
  <c r="A214" i="3" s="1"/>
  <c r="A202" i="3" a="1"/>
  <c r="A202" i="3" s="1"/>
  <c r="A190" i="3" a="1"/>
  <c r="A190" i="3" s="1"/>
  <c r="A178" i="3" a="1"/>
  <c r="A178" i="3" s="1"/>
  <c r="A166" i="3" a="1"/>
  <c r="A166" i="3" s="1"/>
  <c r="A3" i="3" a="1"/>
  <c r="A3" i="3" s="1"/>
  <c r="A50" i="3" a="1"/>
  <c r="A50" i="3" s="1"/>
  <c r="A249" i="3" a="1"/>
  <c r="A249" i="3" s="1"/>
  <c r="A237" i="3" a="1"/>
  <c r="A237" i="3" s="1"/>
  <c r="A225" i="3" a="1"/>
  <c r="A225" i="3" s="1"/>
  <c r="A213" i="3" a="1"/>
  <c r="A213" i="3" s="1"/>
  <c r="A201" i="3" a="1"/>
  <c r="A201" i="3" s="1"/>
  <c r="A189" i="3" a="1"/>
  <c r="A189" i="3" s="1"/>
  <c r="A177" i="3" a="1"/>
  <c r="A177" i="3" s="1"/>
  <c r="A165" i="3" a="1"/>
  <c r="A165" i="3" s="1"/>
  <c r="A154" i="3" a="1"/>
  <c r="A154" i="3" s="1"/>
  <c r="A142" i="3" a="1"/>
  <c r="A142" i="3" s="1"/>
  <c r="A130" i="3" a="1"/>
  <c r="A130" i="3" s="1"/>
  <c r="A118" i="3" a="1"/>
  <c r="A118" i="3" s="1"/>
  <c r="A106" i="3" a="1"/>
  <c r="A106" i="3" s="1"/>
  <c r="A94" i="3" a="1"/>
  <c r="A94" i="3" s="1"/>
  <c r="A82" i="3" a="1"/>
  <c r="A82" i="3" s="1"/>
  <c r="A70" i="3" a="1"/>
  <c r="A70" i="3" s="1"/>
  <c r="A58" i="3" a="1"/>
  <c r="A58" i="3" s="1"/>
  <c r="H54" i="1"/>
  <c r="H40" i="1"/>
  <c r="H37" i="1"/>
  <c r="H33" i="1"/>
  <c r="H22" i="1"/>
  <c r="H18" i="1"/>
  <c r="H15" i="1"/>
  <c r="H6" i="1"/>
  <c r="A153" i="3" a="1"/>
  <c r="A153" i="3" s="1"/>
  <c r="A141" i="3" a="1"/>
  <c r="A141" i="3" s="1"/>
  <c r="A129" i="3" a="1"/>
  <c r="A129" i="3" s="1"/>
  <c r="A117" i="3" a="1"/>
  <c r="A117" i="3" s="1"/>
  <c r="A105" i="3" a="1"/>
  <c r="A105" i="3" s="1"/>
  <c r="A93" i="3" a="1"/>
  <c r="A93" i="3" s="1"/>
  <c r="A81" i="3" a="1"/>
  <c r="A81" i="3" s="1"/>
  <c r="A69" i="3" a="1"/>
  <c r="A69" i="3" s="1"/>
  <c r="A57" i="3" a="1"/>
  <c r="A57" i="3" s="1"/>
  <c r="H53" i="1"/>
  <c r="H39" i="1"/>
  <c r="H36" i="1"/>
  <c r="H32" i="1"/>
  <c r="H21" i="1"/>
  <c r="H14" i="1"/>
  <c r="H5" i="1"/>
  <c r="A164" i="3" a="1"/>
  <c r="A164" i="3" s="1"/>
  <c r="A152" i="3" a="1"/>
  <c r="A152" i="3" s="1"/>
  <c r="A140" i="3" a="1"/>
  <c r="A140" i="3" s="1"/>
  <c r="A128" i="3" a="1"/>
  <c r="A128" i="3" s="1"/>
  <c r="A116" i="3" a="1"/>
  <c r="A116" i="3" s="1"/>
  <c r="A104" i="3" a="1"/>
  <c r="A104" i="3" s="1"/>
  <c r="A92" i="3" a="1"/>
  <c r="A92" i="3" s="1"/>
  <c r="A80" i="3" a="1"/>
  <c r="A80" i="3" s="1"/>
  <c r="A68" i="3" a="1"/>
  <c r="A68" i="3" s="1"/>
  <c r="A56" i="3" a="1"/>
  <c r="A56" i="3" s="1"/>
  <c r="H46" i="1"/>
  <c r="H35" i="1"/>
  <c r="H31" i="1"/>
  <c r="H20" i="1"/>
  <c r="A163" i="3" a="1"/>
  <c r="A163" i="3" s="1"/>
  <c r="A151" i="3" a="1"/>
  <c r="A151" i="3" s="1"/>
  <c r="A139" i="3" a="1"/>
  <c r="A139" i="3" s="1"/>
  <c r="A127" i="3" a="1"/>
  <c r="A127" i="3" s="1"/>
  <c r="A115" i="3" a="1"/>
  <c r="A115" i="3" s="1"/>
  <c r="A103" i="3" a="1"/>
  <c r="A103" i="3" s="1"/>
  <c r="A91" i="3" a="1"/>
  <c r="A91" i="3" s="1"/>
  <c r="A79" i="3" a="1"/>
  <c r="A79" i="3" s="1"/>
  <c r="A67" i="3" a="1"/>
  <c r="A67" i="3" s="1"/>
  <c r="A55" i="3" a="1"/>
  <c r="A55" i="3" s="1"/>
  <c r="A10" i="3" a="1"/>
  <c r="A10" i="3" s="1"/>
  <c r="A162" i="3" a="1"/>
  <c r="A162" i="3" s="1"/>
  <c r="A150" i="3" a="1"/>
  <c r="A150" i="3" s="1"/>
  <c r="A138" i="3" a="1"/>
  <c r="A138" i="3" s="1"/>
  <c r="A126" i="3" a="1"/>
  <c r="A126" i="3" s="1"/>
  <c r="A114" i="3" a="1"/>
  <c r="A114" i="3" s="1"/>
  <c r="A102" i="3" a="1"/>
  <c r="A102" i="3" s="1"/>
  <c r="A90" i="3" a="1"/>
  <c r="A90" i="3" s="1"/>
  <c r="A78" i="3" a="1"/>
  <c r="A78" i="3" s="1"/>
  <c r="A66" i="3" a="1"/>
  <c r="A66" i="3" s="1"/>
  <c r="A161" i="3" a="1"/>
  <c r="A161" i="3" s="1"/>
  <c r="A149" i="3" a="1"/>
  <c r="A149" i="3" s="1"/>
  <c r="A137" i="3" a="1"/>
  <c r="A137" i="3" s="1"/>
  <c r="A125" i="3" a="1"/>
  <c r="A125" i="3" s="1"/>
  <c r="A113" i="3" a="1"/>
  <c r="A113" i="3" s="1"/>
  <c r="A101" i="3" a="1"/>
  <c r="A101" i="3" s="1"/>
  <c r="A89" i="3" a="1"/>
  <c r="A89" i="3" s="1"/>
  <c r="A77" i="3" a="1"/>
  <c r="A77" i="3" s="1"/>
  <c r="A65" i="3" a="1"/>
  <c r="A65" i="3" s="1"/>
  <c r="A160" i="3" a="1"/>
  <c r="A160" i="3" s="1"/>
  <c r="A148" i="3" a="1"/>
  <c r="A148" i="3" s="1"/>
  <c r="A136" i="3" a="1"/>
  <c r="A136" i="3" s="1"/>
  <c r="A124" i="3" a="1"/>
  <c r="A124" i="3" s="1"/>
  <c r="A112" i="3" a="1"/>
  <c r="A112" i="3" s="1"/>
  <c r="A100" i="3" a="1"/>
  <c r="A100" i="3" s="1"/>
  <c r="A88" i="3" a="1"/>
  <c r="A88" i="3" s="1"/>
  <c r="A76" i="3" a="1"/>
  <c r="A76" i="3" s="1"/>
  <c r="A64" i="3" a="1"/>
  <c r="A64" i="3" s="1"/>
  <c r="A159" i="3" a="1"/>
  <c r="A159" i="3" s="1"/>
  <c r="A147" i="3" a="1"/>
  <c r="A147" i="3" s="1"/>
  <c r="A135" i="3" a="1"/>
  <c r="A135" i="3" s="1"/>
  <c r="A123" i="3" a="1"/>
  <c r="A123" i="3" s="1"/>
  <c r="A111" i="3" a="1"/>
  <c r="A111" i="3" s="1"/>
  <c r="A99" i="3" a="1"/>
  <c r="A99" i="3" s="1"/>
  <c r="A87" i="3" a="1"/>
  <c r="A87" i="3" s="1"/>
  <c r="A75" i="3" a="1"/>
  <c r="A75" i="3" s="1"/>
  <c r="A63" i="3" a="1"/>
  <c r="A63" i="3" s="1"/>
  <c r="A158" i="3" a="1"/>
  <c r="A158" i="3" s="1"/>
  <c r="A146" i="3" a="1"/>
  <c r="A146" i="3" s="1"/>
  <c r="A134" i="3" a="1"/>
  <c r="A134" i="3" s="1"/>
  <c r="A122" i="3" a="1"/>
  <c r="A122" i="3" s="1"/>
  <c r="A110" i="3" a="1"/>
  <c r="A110" i="3" s="1"/>
  <c r="A98" i="3" a="1"/>
  <c r="A98" i="3" s="1"/>
  <c r="A86" i="3" a="1"/>
  <c r="A86" i="3" s="1"/>
  <c r="A74" i="3" a="1"/>
  <c r="A74" i="3" s="1"/>
  <c r="A62" i="3" a="1"/>
  <c r="A62" i="3" s="1"/>
  <c r="H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6C8C18-8E29-49F4-8797-B3117EAD2526}" keepAlive="1" name="Abfrage - convertcsv" description="Verbindung mit der Abfrage 'convertcsv' in der Arbeitsmappe." type="5" refreshedVersion="8" background="1" saveData="1">
    <dbPr connection="Provider=Microsoft.Mashup.OleDb.1;Data Source=$Workbook$;Location=convertcsv;Extended Properties=&quot;&quot;" command="SELECT * FROM [convertcsv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<sst xmlns="http://schemas.openxmlformats.org/spreadsheetml/2006/main" count="1842" uniqueCount="1047">
  <si>
    <t>jobname</t>
  </si>
  <si>
    <t>status</t>
  </si>
  <si>
    <t>startdate</t>
  </si>
  <si>
    <t>starttime</t>
  </si>
  <si>
    <t>spoolnumber</t>
  </si>
  <si>
    <t>ASCRIPT_RKWA_5K_DES_1</t>
  </si>
  <si>
    <t>ASCRIPT_RBKP_5K_DES_1</t>
  </si>
  <si>
    <t>ASCRIPT_QBEW_5K_DES_1</t>
  </si>
  <si>
    <t>ASCRIPT_MVER_5K_DES_1</t>
  </si>
  <si>
    <t>ASCRIPT_MSPR_5K_DES_1</t>
  </si>
  <si>
    <t>ASCRIPT_MSSL_5K_DES_1</t>
  </si>
  <si>
    <t>ASCRIPT_MSLB_5K_DES_1</t>
  </si>
  <si>
    <t>ASCRIPT_MSKU_5K_DES_1</t>
  </si>
  <si>
    <t>ASCRIPT_MSKA_5K_DES_1</t>
  </si>
  <si>
    <t>ASCRIPT_MSEG_5K_DES_1</t>
  </si>
  <si>
    <t>ASCRIPT_MKPF_5K_DES_1</t>
  </si>
  <si>
    <t>ASCRIPT_MKOL_5K_DES_1</t>
  </si>
  <si>
    <t>ASCRIPT_MCHB_5K_DES_1</t>
  </si>
  <si>
    <t>ASCRIPT_MCHA_5K_DES_1</t>
  </si>
  <si>
    <t>ASCRIPT_MCH1_5K_DES_1</t>
  </si>
  <si>
    <t>ASCRIPT_MARD_5K_DES_1</t>
  </si>
  <si>
    <t>ASCRIPT_KONA_5K_DES_1</t>
  </si>
  <si>
    <t>ASCRIPT_HUMSEG_5K_DES_1</t>
  </si>
  <si>
    <t>ASCRIPT_ESLL_5K_DES_1</t>
  </si>
  <si>
    <t>ASCRIPT_EQUP_5K_DES_1</t>
  </si>
  <si>
    <t>ASCRIPT_EQUK_5K_DES_1</t>
  </si>
  <si>
    <t>ASCRIPT_EKPO_5K_DES_1</t>
  </si>
  <si>
    <t>ASCRIPT_EKKO_5K_DES_1</t>
  </si>
  <si>
    <t>ASCRIPT_EKPA_5K_DES_1</t>
  </si>
  <si>
    <t>ASCRIPT_EKKN_5K_DES_1</t>
  </si>
  <si>
    <t>ASCRIPT_EKET_5K_DES_1</t>
  </si>
  <si>
    <t>ASCRIPT_EKES_5K_DES_1</t>
  </si>
  <si>
    <t>ASCRIPT_EKBE_5K_DES_1</t>
  </si>
  <si>
    <t>ASCRIPT_EINE_5K_DES_1</t>
  </si>
  <si>
    <t>ASCRIPT_EINA_5K_DES_1</t>
  </si>
  <si>
    <t>ASCRIPT_EBKN_5K_DES_1</t>
  </si>
  <si>
    <t>ASCRIPT_EBEW_5K_DES_1</t>
  </si>
  <si>
    <t>ASCRIPT_EBAN_5K_DES_1</t>
  </si>
  <si>
    <t>ASCRIPT_B049_5K_DES_1</t>
  </si>
  <si>
    <t>ASCRIPT_B048_5K_DES_1</t>
  </si>
  <si>
    <t>ASCRIPT_B027_5K_DES_1</t>
  </si>
  <si>
    <t>ASCRIPT_B025_5K_DES_1</t>
  </si>
  <si>
    <t>ASCRIPT_A919_5K_DES_1</t>
  </si>
  <si>
    <t>ASCRIPT_A915_5K_DES_1</t>
  </si>
  <si>
    <t>ASCRIPT_A725_5K_DES_1</t>
  </si>
  <si>
    <t>ASCRIPT_A619_5K_DES_1</t>
  </si>
  <si>
    <t>ASCRIPT_A044_5K_DES_1</t>
  </si>
  <si>
    <t>ASCRIPT_A018_5K_DES_1</t>
  </si>
  <si>
    <t>ASCRIPT_A017_5K_DES_1</t>
  </si>
  <si>
    <t>ASCRIPT_A016_5K_DES_1</t>
  </si>
  <si>
    <t>ASCRIPT_/WUE/MP_ZSVW_ACC_5K_DES</t>
  </si>
  <si>
    <t>ASCRIPT_/WUE/MMV_WKBASKE_5K_DES</t>
  </si>
  <si>
    <t>ASCRIPT_/WUE/MMV_TMSTAMP_5K_DES</t>
  </si>
  <si>
    <t>ASCRIPT_/WUE/MMV_NRVPROT_5K_DES</t>
  </si>
  <si>
    <t>ASCRIPT_/WUE/MMDIAB_PMAT_5K_DES</t>
  </si>
  <si>
    <t>ASCRIPT_/WUE/MMC_PL_PO_P_5K_DES</t>
  </si>
  <si>
    <t>ASCRIPT_/WUE/BATNUM_IND_5K_DES_</t>
  </si>
  <si>
    <t>ASCRIPT_/WRP/MP_INBIDD_5K_DES_1</t>
  </si>
  <si>
    <t>ASCRIPT_/SAPLOM/X__RELEV_5K_DES</t>
  </si>
  <si>
    <t>ASCRIPT_/SAPLOM/X__BELEG_5K_DES</t>
  </si>
  <si>
    <t>ASCRIPT_/WRP/MPDEVSTSUM_5K_DES_</t>
  </si>
  <si>
    <t>fertig</t>
  </si>
  <si>
    <t>9404639</t>
  </si>
  <si>
    <t>9405044</t>
  </si>
  <si>
    <t>9404472</t>
  </si>
  <si>
    <t>9405323</t>
  </si>
  <si>
    <t>9404292</t>
  </si>
  <si>
    <t>9405322</t>
  </si>
  <si>
    <t>9405220</t>
  </si>
  <si>
    <t>9404563</t>
  </si>
  <si>
    <t>9404637</t>
  </si>
  <si>
    <t>9404562</t>
  </si>
  <si>
    <t>9405041</t>
  </si>
  <si>
    <t>9404850</t>
  </si>
  <si>
    <t>9404561</t>
  </si>
  <si>
    <t>9405132</t>
  </si>
  <si>
    <t>9404849</t>
  </si>
  <si>
    <t>9404469</t>
  </si>
  <si>
    <t>9404560</t>
  </si>
  <si>
    <t>9404559</t>
  </si>
  <si>
    <t>9405038</t>
  </si>
  <si>
    <t>9404632</t>
  </si>
  <si>
    <t>9404290</t>
  </si>
  <si>
    <t>9404289</t>
  </si>
  <si>
    <t>9404468</t>
  </si>
  <si>
    <t>9404467</t>
  </si>
  <si>
    <t>9405129</t>
  </si>
  <si>
    <t>9404845</t>
  </si>
  <si>
    <t>9405319</t>
  </si>
  <si>
    <t>9405037</t>
  </si>
  <si>
    <t>9405036</t>
  </si>
  <si>
    <t>9405128</t>
  </si>
  <si>
    <t>9404558</t>
  </si>
  <si>
    <t>9404844</t>
  </si>
  <si>
    <t>9404288</t>
  </si>
  <si>
    <t>9404738</t>
  </si>
  <si>
    <t>9404737</t>
  </si>
  <si>
    <t>9405318</t>
  </si>
  <si>
    <t>9405034</t>
  </si>
  <si>
    <t>9404939</t>
  </si>
  <si>
    <t>9404556</t>
  </si>
  <si>
    <t>9405213</t>
  </si>
  <si>
    <t>9404735</t>
  </si>
  <si>
    <t>9404937</t>
  </si>
  <si>
    <t>9405317</t>
  </si>
  <si>
    <t>9404936</t>
  </si>
  <si>
    <t>9405127</t>
  </si>
  <si>
    <t>9404841</t>
  </si>
  <si>
    <t>9405316</t>
  </si>
  <si>
    <t>9404840</t>
  </si>
  <si>
    <t>9404732</t>
  </si>
  <si>
    <t>9405124</t>
  </si>
  <si>
    <t>9404628</t>
  </si>
  <si>
    <t>9404839</t>
  </si>
  <si>
    <t>9404555</t>
  </si>
  <si>
    <t>9405314</t>
  </si>
  <si>
    <t>done</t>
  </si>
  <si>
    <t>X</t>
  </si>
  <si>
    <t>dbname</t>
  </si>
  <si>
    <t>MCHA</t>
  </si>
  <si>
    <t>MCH1</t>
  </si>
  <si>
    <t>ZMB_NIWE_VERB</t>
  </si>
  <si>
    <t>ZMB_NIWE_VERB_KM</t>
  </si>
  <si>
    <t>ZMB_NIWE_VERB_KS</t>
  </si>
  <si>
    <t>ZMB_NIWE_VERB_PM</t>
  </si>
  <si>
    <t>ZMB_NIWE_VERB_KU</t>
  </si>
  <si>
    <t>ZMB_NIWE_ROVB_KU</t>
  </si>
  <si>
    <t>ZMB_NIWE_VERB_MJ</t>
  </si>
  <si>
    <t>RBKP</t>
  </si>
  <si>
    <t>RSEG</t>
  </si>
  <si>
    <t>MARD</t>
  </si>
  <si>
    <t>MCHB</t>
  </si>
  <si>
    <t>EBEW</t>
  </si>
  <si>
    <t>QBEW</t>
  </si>
  <si>
    <t>OBEW</t>
  </si>
  <si>
    <t>MKOL</t>
  </si>
  <si>
    <t>MSKA</t>
  </si>
  <si>
    <t>MSKU</t>
  </si>
  <si>
    <t>MSLB</t>
  </si>
  <si>
    <t>MSPR</t>
  </si>
  <si>
    <t>MSSL</t>
  </si>
  <si>
    <t>VEKP</t>
  </si>
  <si>
    <t>VEPO</t>
  </si>
  <si>
    <t>EQUK</t>
  </si>
  <si>
    <t>EQUP</t>
  </si>
  <si>
    <t>/WUE/MM_DIAB_DELS</t>
  </si>
  <si>
    <t>/WUE/MMDIABMOVES</t>
  </si>
  <si>
    <t>/WUE/MMDIABSTORE</t>
  </si>
  <si>
    <t>/WUE/MMDIABPOST</t>
  </si>
  <si>
    <t>/WUE/MMDIABHU_C</t>
  </si>
  <si>
    <t>/WUE/MMDIAB_PMAT</t>
  </si>
  <si>
    <t>EQUI</t>
  </si>
  <si>
    <t>OBJK</t>
  </si>
  <si>
    <t>KONA</t>
  </si>
  <si>
    <t>S55/WUE/VDN_SETUP_C</t>
  </si>
  <si>
    <t>/WUE/MM_VDN</t>
  </si>
  <si>
    <t>/WUE/MMC_TAXES</t>
  </si>
  <si>
    <t>/WUE/MMC_TAX_REG</t>
  </si>
  <si>
    <t>/WUE/MMC_OTV_TAX</t>
  </si>
  <si>
    <t>/WUE/MM_PUR_SRV_LE</t>
  </si>
  <si>
    <t>ASMD</t>
  </si>
  <si>
    <t>TMP_SPEC</t>
  </si>
  <si>
    <t>ESSR</t>
  </si>
  <si>
    <t>ESLL</t>
  </si>
  <si>
    <t>/WUE/T_MM_PUR_TS</t>
  </si>
  <si>
    <t>/WUE/MP_ZSVW</t>
  </si>
  <si>
    <t>/WUE/MP_ZSVW_ACC</t>
  </si>
  <si>
    <t>/WUE/EXPRF_MWSKZ</t>
  </si>
  <si>
    <t>ZME_LBA_MWSKZ_C</t>
  </si>
  <si>
    <t>/SAPLOM/X__PERIS</t>
  </si>
  <si>
    <t>/SAPLOM/X__RELEV</t>
  </si>
  <si>
    <t>/SAPLOM/X__STAND</t>
  </si>
  <si>
    <t>/SAPLOM/X__STANS</t>
  </si>
  <si>
    <t>/SAPLOM/X__STARS</t>
  </si>
  <si>
    <t>/SAPLOM/X__START</t>
  </si>
  <si>
    <t>/SAPLOM/X__STOCK</t>
  </si>
  <si>
    <t>/SAPLOM/X_MRPRES</t>
  </si>
  <si>
    <t>/WRP/MPMV_GLDBSG</t>
  </si>
  <si>
    <t>/WUE/MMV_PROTRLL</t>
  </si>
  <si>
    <t>/WUE/MMV_TMSTAMP</t>
  </si>
  <si>
    <t>/WUE/MMV_WKBASKE</t>
  </si>
  <si>
    <t>/WUE/MPMV_LOGREP</t>
  </si>
  <si>
    <t>B907</t>
  </si>
  <si>
    <t>B027</t>
  </si>
  <si>
    <t>B025</t>
  </si>
  <si>
    <t>B026</t>
  </si>
  <si>
    <t>B029</t>
  </si>
  <si>
    <t>B07B071</t>
  </si>
  <si>
    <t>B072</t>
  </si>
  <si>
    <t>B908</t>
  </si>
  <si>
    <t>B074</t>
  </si>
  <si>
    <t>B972</t>
  </si>
  <si>
    <t>B975</t>
  </si>
  <si>
    <t>B974</t>
  </si>
  <si>
    <t>B971</t>
  </si>
  <si>
    <t>B046</t>
  </si>
  <si>
    <t>B048</t>
  </si>
  <si>
    <t>B049</t>
  </si>
  <si>
    <t>B172</t>
  </si>
  <si>
    <t>B17B171</t>
  </si>
  <si>
    <t>B173</t>
  </si>
  <si>
    <t>B013</t>
  </si>
  <si>
    <t>A025</t>
  </si>
  <si>
    <t>A028</t>
  </si>
  <si>
    <t>A043</t>
  </si>
  <si>
    <t>A044</t>
  </si>
  <si>
    <t>A045</t>
  </si>
  <si>
    <t>A048</t>
  </si>
  <si>
    <t>A049</t>
  </si>
  <si>
    <t>A05A051</t>
  </si>
  <si>
    <t>A052</t>
  </si>
  <si>
    <t>A066</t>
  </si>
  <si>
    <t>A067</t>
  </si>
  <si>
    <t>A068</t>
  </si>
  <si>
    <t>A069</t>
  </si>
  <si>
    <t>A08A085</t>
  </si>
  <si>
    <t>A118</t>
  </si>
  <si>
    <t>A301</t>
  </si>
  <si>
    <t>A31A321</t>
  </si>
  <si>
    <t>A523</t>
  </si>
  <si>
    <t>A524</t>
  </si>
  <si>
    <t>A525</t>
  </si>
  <si>
    <t>A526</t>
  </si>
  <si>
    <t>A527</t>
  </si>
  <si>
    <t>A528</t>
  </si>
  <si>
    <t>A529</t>
  </si>
  <si>
    <t>A532</t>
  </si>
  <si>
    <t>A605</t>
  </si>
  <si>
    <t>A619</t>
  </si>
  <si>
    <t>A643</t>
  </si>
  <si>
    <t>A649</t>
  </si>
  <si>
    <t>A665</t>
  </si>
  <si>
    <t>A666</t>
  </si>
  <si>
    <t>A667</t>
  </si>
  <si>
    <t>A668</t>
  </si>
  <si>
    <t>A669</t>
  </si>
  <si>
    <t>A67A723</t>
  </si>
  <si>
    <t>A725</t>
  </si>
  <si>
    <t>A726</t>
  </si>
  <si>
    <t>A807</t>
  </si>
  <si>
    <t>A808</t>
  </si>
  <si>
    <t>A90A902</t>
  </si>
  <si>
    <t>A905</t>
  </si>
  <si>
    <t>A906</t>
  </si>
  <si>
    <t>A908</t>
  </si>
  <si>
    <t>A909</t>
  </si>
  <si>
    <t>A914</t>
  </si>
  <si>
    <t>A915</t>
  </si>
  <si>
    <t>A918</t>
  </si>
  <si>
    <t>A919</t>
  </si>
  <si>
    <t>A929</t>
  </si>
  <si>
    <t>A934</t>
  </si>
  <si>
    <t>A982</t>
  </si>
  <si>
    <t>A9BA</t>
  </si>
  <si>
    <t>A9BB</t>
  </si>
  <si>
    <t>A9BC</t>
  </si>
  <si>
    <t>A9BD</t>
  </si>
  <si>
    <t>A961</t>
  </si>
  <si>
    <t>A93A928</t>
  </si>
  <si>
    <t>S501</t>
  </si>
  <si>
    <t>S502</t>
  </si>
  <si>
    <t>/WUE/MPFUPKUNR_C</t>
  </si>
  <si>
    <t>MVER</t>
  </si>
  <si>
    <t>/WUE/MM_MVER</t>
  </si>
  <si>
    <t>/wrp/mpbwindex</t>
  </si>
  <si>
    <t>ZBWGLD</t>
  </si>
  <si>
    <t>ZMBWEBUCHEN</t>
  </si>
  <si>
    <t>ZMEIPFEP_AUF</t>
  </si>
  <si>
    <t>ZMB_IMSEG_ERR</t>
  </si>
  <si>
    <t>/WRP/MAEXPSYMAT</t>
  </si>
  <si>
    <t>ZMMARTIKELANLAGE</t>
  </si>
  <si>
    <t>/WRP/MM_MARM_VEN</t>
  </si>
  <si>
    <t>/WUE/SRS_CALC</t>
  </si>
  <si>
    <t>/WRP/MP_INBCND</t>
  </si>
  <si>
    <t>ZMBBESBER</t>
  </si>
  <si>
    <t>ZMEEIPA</t>
  </si>
  <si>
    <t>ZME_SSWAN</t>
  </si>
  <si>
    <t>ZBW_STOCK_CONSI</t>
  </si>
  <si>
    <t>ZMBWEPRIOPOOL</t>
  </si>
  <si>
    <t>ZME_SSWMSEG</t>
  </si>
  <si>
    <t>/WUE/LFB_ELBP</t>
  </si>
  <si>
    <t>/WUE/LFB_SEL</t>
  </si>
  <si>
    <t>ZMBWRKUMLAG</t>
  </si>
  <si>
    <t>ZMECOCK_KZAUSG</t>
  </si>
  <si>
    <t>ZMMABC_ARTIKEL</t>
  </si>
  <si>
    <t>ZMERMKO</t>
  </si>
  <si>
    <t>ZBW_SRM_EXPORT</t>
  </si>
  <si>
    <t>ZMB_MPD</t>
  </si>
  <si>
    <t>ZMB_MPK</t>
  </si>
  <si>
    <t>ZME_VK_EK_STAT</t>
  </si>
  <si>
    <t>ZME_GROPO_STAT</t>
  </si>
  <si>
    <t>/WUE/MM_AUTOINQ</t>
  </si>
  <si>
    <t>ZMELFPRG</t>
  </si>
  <si>
    <t>/WRP/MP_INBIDD</t>
  </si>
  <si>
    <t>ZMB_MPG</t>
  </si>
  <si>
    <t>/WUE/SD_CUSTLIAB</t>
  </si>
  <si>
    <t>ZMB_WEDIFF</t>
  </si>
  <si>
    <t>ZMB_MPP</t>
  </si>
  <si>
    <t>/WUE/MMC_PL_PO_P</t>
  </si>
  <si>
    <t>/WUE/MMDIABDELS</t>
  </si>
  <si>
    <t>ZMEI_BESTELLUNG</t>
  </si>
  <si>
    <t>/WUE/SUPPLIER_OB</t>
  </si>
  <si>
    <t>/WRP/M_UTSPLIT_S</t>
  </si>
  <si>
    <t>/WUE/MMC_PL_PO_K</t>
  </si>
  <si>
    <t>/WUE/MECOCO_LBO</t>
  </si>
  <si>
    <t>ZME_SSWSTORNO</t>
  </si>
  <si>
    <t>/THA/MMP_LDUP_PR</t>
  </si>
  <si>
    <t>ZME_CFBLORT</t>
  </si>
  <si>
    <t>/WUE/MIC_USR_LOG</t>
  </si>
  <si>
    <t>/WRP/CONS_ACTIV</t>
  </si>
  <si>
    <t>ZMEIWERTMAIL_C</t>
  </si>
  <si>
    <t>/WUE/BATNUM_IND</t>
  </si>
  <si>
    <t>ZMM_IV_ERS_EXCEL</t>
  </si>
  <si>
    <t>ZMB_UMTAUSCHWERT</t>
  </si>
  <si>
    <t>/WUE/WSP_PORTS</t>
  </si>
  <si>
    <t>ZMM_DRPFLPROTPOS</t>
  </si>
  <si>
    <t>ZMB_GR_PARAM</t>
  </si>
  <si>
    <t>ZMERPBEST</t>
  </si>
  <si>
    <t>/WUE/MMP_SRV_LE</t>
  </si>
  <si>
    <t>ZGLEP_CHK_BWART</t>
  </si>
  <si>
    <t>ZMEIMAILPROD_C</t>
  </si>
  <si>
    <t>ZMD_SDPARA</t>
  </si>
  <si>
    <t>ZME_LIFINQ_XLS</t>
  </si>
  <si>
    <t>/WUE/MIB_DESGRSL</t>
  </si>
  <si>
    <t>/WUE/MRP_DB_MAIL</t>
  </si>
  <si>
    <t>ZMM_MRKO_CHARG_C</t>
  </si>
  <si>
    <t>/WUE/MPO_MHD_LIF</t>
  </si>
  <si>
    <t>ZME_DRUCKBATCH</t>
  </si>
  <si>
    <t>ZMB_GRUND_KONTO</t>
  </si>
  <si>
    <t>zme_snldpara</t>
  </si>
  <si>
    <t>in TM2 noch nicht berücksichtigt, da Auslieferungsklasse noch auf C steht, vor TM3 muss Auslieferungsklasse noch auf A umgestellt werden!</t>
  </si>
  <si>
    <t>ZBWINVENTUR</t>
  </si>
  <si>
    <t>ZMSEGPROT</t>
  </si>
  <si>
    <t>???Holger, 15.08.25: vermutlich obsolet (keine Verwendung mehr; Einträge alle älter 04.05.2004)</t>
  </si>
  <si>
    <t>?</t>
  </si>
  <si>
    <t>ESDUS</t>
  </si>
  <si>
    <t>EKKO</t>
  </si>
  <si>
    <t>EKPO</t>
  </si>
  <si>
    <t>EKPA</t>
  </si>
  <si>
    <t>EKET</t>
  </si>
  <si>
    <t>EKES</t>
  </si>
  <si>
    <t>EKBE</t>
  </si>
  <si>
    <t>EKKN</t>
  </si>
  <si>
    <t>EINA</t>
  </si>
  <si>
    <t>EINE</t>
  </si>
  <si>
    <t>A018</t>
  </si>
  <si>
    <t>/WRP/MPDEVSTDET</t>
  </si>
  <si>
    <t>/WRP/MPDEVSTSU2</t>
  </si>
  <si>
    <t>/WRP/MPDEVSTSUM</t>
  </si>
  <si>
    <t>/WUE/MMV_NRVPROT</t>
  </si>
  <si>
    <t>ZBW_IF_QUERY_C</t>
  </si>
  <si>
    <t>EBAN</t>
  </si>
  <si>
    <t>EBKN</t>
  </si>
  <si>
    <t>MKPF</t>
  </si>
  <si>
    <t>MSEG</t>
  </si>
  <si>
    <t>RKWA</t>
  </si>
  <si>
    <t>HUMSEG</t>
  </si>
  <si>
    <t>/SAPLOM/X__BELEG</t>
  </si>
  <si>
    <t>/SAPLOM/X__BEWEG</t>
  </si>
  <si>
    <t>/SAPLOM/X__BEWES</t>
  </si>
  <si>
    <t>/SAPLOM/X__DAILS</t>
  </si>
  <si>
    <t>/SAPLOM/X__DAILY</t>
  </si>
  <si>
    <t>/SAPLOM/X__DATUM</t>
  </si>
  <si>
    <t>/SAPLOM/X__DATUS</t>
  </si>
  <si>
    <t>/SAPLOM/X__PERIO</t>
  </si>
  <si>
    <t>A002</t>
  </si>
  <si>
    <t>A006</t>
  </si>
  <si>
    <t>A007</t>
  </si>
  <si>
    <t>A008</t>
  </si>
  <si>
    <t>A009</t>
  </si>
  <si>
    <t>A011</t>
  </si>
  <si>
    <t>A016</t>
  </si>
  <si>
    <t>A017</t>
  </si>
  <si>
    <t>A019</t>
  </si>
  <si>
    <t>/WUE/MIB_HUBOOK</t>
  </si>
  <si>
    <t>ZLO_VKNUM_LGORT</t>
  </si>
  <si>
    <t>elaubt</t>
  </si>
  <si>
    <t>(index)</t>
  </si>
  <si>
    <t>Ticket ID</t>
  </si>
  <si>
    <t>Description</t>
  </si>
  <si>
    <t>Time</t>
  </si>
  <si>
    <t>DEX-TM2-RKWA DEX&lt;=&gt;W4P diff</t>
  </si>
  <si>
    <t>2025-09-11T06:59:57.666Z</t>
  </si>
  <si>
    <t>DEX-TM2-RBKP DEX&lt;=&gt;W4P diff</t>
  </si>
  <si>
    <t>2025-09-11T07:00:21.607Z</t>
  </si>
  <si>
    <t>DEX-TM2-QBEW DEX&lt;=&gt;W4P diff</t>
  </si>
  <si>
    <t>2025-09-11T07:00:47.658Z</t>
  </si>
  <si>
    <t>DEX-TM2-MVER DEX&lt;=&gt;W4P diff</t>
  </si>
  <si>
    <t>2025-09-11T07:01:14.465Z</t>
  </si>
  <si>
    <t>DEX-TM2-MSPR DEX&lt;=&gt;W4P diff</t>
  </si>
  <si>
    <t>2025-09-11T07:01:38.355Z</t>
  </si>
  <si>
    <t>DEX-TM2-MSSL DEX&lt;=&gt;W4P diff</t>
  </si>
  <si>
    <t>2025-09-11T07:02:03.071Z</t>
  </si>
  <si>
    <t>DEX-TM2-MSLB DEX&lt;=&gt;W4P diff</t>
  </si>
  <si>
    <t>2025-09-11T07:02:27.714Z</t>
  </si>
  <si>
    <t>DEX-TM2-MSKU DEX&lt;=&gt;W4P diff</t>
  </si>
  <si>
    <t>2025-09-11T07:02:51.102Z</t>
  </si>
  <si>
    <t>DEX-TM2-MSKA DEX&lt;=&gt;W4P diff</t>
  </si>
  <si>
    <t>2025-09-11T07:03:17.807Z</t>
  </si>
  <si>
    <t>DEX-TM2-MSEG DEX&lt;=&gt;W4P diff</t>
  </si>
  <si>
    <t>2025-09-11T07:03:40.990Z</t>
  </si>
  <si>
    <t>DEX-TM2-MKPF DEX&lt;=&gt;W4P diff</t>
  </si>
  <si>
    <t>2025-09-11T07:04:04.301Z</t>
  </si>
  <si>
    <t>DEX-TM2-MKOL DEX&lt;=&gt;W4P diff</t>
  </si>
  <si>
    <t>2025-09-11T07:04:27.568Z</t>
  </si>
  <si>
    <t>DEX-TM2-MCHB DEX&lt;=&gt;W4P diff</t>
  </si>
  <si>
    <t>2025-09-11T07:04:48.729Z</t>
  </si>
  <si>
    <t>DEX-TM2-MCHA DEX&lt;=&gt;W4P diff</t>
  </si>
  <si>
    <t>2025-09-11T07:05:12.378Z</t>
  </si>
  <si>
    <t>DEX-TM2-MCH1 DEX&lt;=&gt;W4P diff</t>
  </si>
  <si>
    <t>2025-09-11T07:05:35.332Z</t>
  </si>
  <si>
    <t>DEX-TM2-MARD DEX&lt;=&gt;W4P diff</t>
  </si>
  <si>
    <t>2025-09-11T07:05:58.246Z</t>
  </si>
  <si>
    <t>DEX-TM2-KONA DEX&lt;=&gt;W4P diff</t>
  </si>
  <si>
    <t>2025-09-11T07:06:20.869Z</t>
  </si>
  <si>
    <t>DEX-TM2-HUMSEG DEX&lt;=&gt;W4P diff</t>
  </si>
  <si>
    <t>2025-09-11T07:06:42.421Z</t>
  </si>
  <si>
    <t>DEX-TM2-ESLL DEX&lt;=&gt;W4P diff</t>
  </si>
  <si>
    <t>2025-09-11T07:07:04.277Z</t>
  </si>
  <si>
    <t>DEX-TM2-EQUP DEX&lt;=&gt;W4P diff</t>
  </si>
  <si>
    <t>2025-09-11T07:07:24.528Z</t>
  </si>
  <si>
    <t>DEX-TM2-EQUK DEX&lt;=&gt;W4P diff</t>
  </si>
  <si>
    <t>2025-09-11T07:07:45.835Z</t>
  </si>
  <si>
    <t>DEX-TM2-EKPO DEX&lt;=&gt;W4P diff</t>
  </si>
  <si>
    <t>2025-09-11T07:08:08.263Z</t>
  </si>
  <si>
    <t>DEX-TM2-EKKO DEX&lt;=&gt;W4P diff</t>
  </si>
  <si>
    <t>2025-09-11T07:08:33.472Z</t>
  </si>
  <si>
    <t>DEX-TM2-EKPA DEX&lt;=&gt;W4P diff</t>
  </si>
  <si>
    <t>2025-09-11T07:08:56.627Z</t>
  </si>
  <si>
    <t>DEX-TM2-EKKN DEX&lt;=&gt;W4P diff</t>
  </si>
  <si>
    <t>2025-09-11T07:09:22.034Z</t>
  </si>
  <si>
    <t>DEX-TM2-EKET DEX&lt;=&gt;W4P diff</t>
  </si>
  <si>
    <t>2025-09-11T07:09:49.084Z</t>
  </si>
  <si>
    <t>DEX-TM2-EKES DEX&lt;=&gt;W4P diff</t>
  </si>
  <si>
    <t>2025-09-11T07:10:16.907Z</t>
  </si>
  <si>
    <t>DEX-TM2-EKBE DEX&lt;=&gt;W4P diff</t>
  </si>
  <si>
    <t>2025-09-11T07:10:47.485Z</t>
  </si>
  <si>
    <t>DEX-TM2-EINE DEX&lt;=&gt;W4P diff</t>
  </si>
  <si>
    <t>2025-09-11T07:11:12.528Z</t>
  </si>
  <si>
    <t>DEX-TM2-EINA DEX&lt;=&gt;W4P diff</t>
  </si>
  <si>
    <t>2025-09-11T07:11:37.986Z</t>
  </si>
  <si>
    <t>DEX-TM2-EBKN DEX&lt;=&gt;W4P diff</t>
  </si>
  <si>
    <t>2025-09-11T07:12:01.625Z</t>
  </si>
  <si>
    <t>DEX-TM2-EBEW DEX&lt;=&gt;W4P diff</t>
  </si>
  <si>
    <t>2025-09-11T07:12:24.746Z</t>
  </si>
  <si>
    <t>DEX-TM2-EBAN DEX&lt;=&gt;W4P diff</t>
  </si>
  <si>
    <t>2025-09-11T07:12:49.788Z</t>
  </si>
  <si>
    <t>DEX-TM2-B049 DEX&lt;=&gt;W4P diff</t>
  </si>
  <si>
    <t>2025-09-11T07:13:13.689Z</t>
  </si>
  <si>
    <t>DEX-TM2-B048 DEX&lt;=&gt;W4P diff</t>
  </si>
  <si>
    <t>2025-09-11T07:13:34.938Z</t>
  </si>
  <si>
    <t>DEX-TM2-B027 DEX&lt;=&gt;W4P diff</t>
  </si>
  <si>
    <t>2025-09-11T07:13:57.071Z</t>
  </si>
  <si>
    <t>DEX-TM2-B025 DEX&lt;=&gt;W4P diff</t>
  </si>
  <si>
    <t>2025-09-11T07:14:19.851Z</t>
  </si>
  <si>
    <t>DEX-TM2-A919 DEX&lt;=&gt;W4P diff</t>
  </si>
  <si>
    <t>2025-09-11T07:14:42.233Z</t>
  </si>
  <si>
    <t>DEX-TM2-A915 DEX&lt;=&gt;W4P diff</t>
  </si>
  <si>
    <t>2025-09-11T07:15:03.968Z</t>
  </si>
  <si>
    <t>DEX-TM2-A725 DEX&lt;=&gt;W4P diff</t>
  </si>
  <si>
    <t>2025-09-11T07:15:27.302Z</t>
  </si>
  <si>
    <t>DEX-TM2-A619 DEX&lt;=&gt;W4P diff</t>
  </si>
  <si>
    <t>2025-09-11T07:15:50.966Z</t>
  </si>
  <si>
    <t>DEX-TM2-A044 DEX&lt;=&gt;W4P diff</t>
  </si>
  <si>
    <t>2025-09-11T07:16:13.284Z</t>
  </si>
  <si>
    <t>DEX-TM2-A018 DEX&lt;=&gt;W4P diff</t>
  </si>
  <si>
    <t>2025-09-11T07:16:36.602Z</t>
  </si>
  <si>
    <t>DEX-TM2-A017 DEX&lt;=&gt;W4P diff</t>
  </si>
  <si>
    <t>2025-09-11T07:17:00.061Z</t>
  </si>
  <si>
    <t>DEX-TM2-A016 DEX&lt;=&gt;W4P diff</t>
  </si>
  <si>
    <t>2025-09-11T07:17:23.874Z</t>
  </si>
  <si>
    <t>DEX-TM2-/WUE/MP_ZSVW_ACC DEX&lt;=&gt;W4P diff</t>
  </si>
  <si>
    <t>2025-09-11T07:17:55.218Z</t>
  </si>
  <si>
    <t>DEX-TM2-/WUE/MMV_WKBASKE DEX&lt;=&gt;W4P diff</t>
  </si>
  <si>
    <t>2025-09-11T07:18:18.246Z</t>
  </si>
  <si>
    <t>DEX-TM2-/WUE/MMV_TMSTAMP DEX&lt;=&gt;W4P diff</t>
  </si>
  <si>
    <t>2025-09-11T07:18:42.143Z</t>
  </si>
  <si>
    <t>DEX-TM2-/WUE/MMV_NRVPROT DEX&lt;=&gt;W4P diff</t>
  </si>
  <si>
    <t>2025-09-11T07:19:06.188Z</t>
  </si>
  <si>
    <t>DEX-TM2-/WUE/MMDIAB_PMAT DEX&lt;=&gt;W4P diff</t>
  </si>
  <si>
    <t>2025-09-11T07:19:28.809Z</t>
  </si>
  <si>
    <t>DEX-TM2-/WUE/MMC_PL_PO_P DEX&lt;=&gt;W4P diff</t>
  </si>
  <si>
    <t>2025-09-11T07:19:50.516Z</t>
  </si>
  <si>
    <t>DEX-TM2-/WUE/BATNUM_IND DEX&lt;=&gt;W4P diff</t>
  </si>
  <si>
    <t>2025-09-11T07:20:13.465Z</t>
  </si>
  <si>
    <t>DEX-TM2-/WRP/MP_INBIDD DEX&lt;=&gt;W4P diff</t>
  </si>
  <si>
    <t>2025-09-11T07:20:36.420Z</t>
  </si>
  <si>
    <t>DEX-TM2-/SAPLOM/X__RELEV DEX&lt;=&gt;W4P diff</t>
  </si>
  <si>
    <t>2025-09-11T07:20:59.776Z</t>
  </si>
  <si>
    <t>DEX-TM2-/SAPLOM/X__BELEG DEX&lt;=&gt;W4P diff</t>
  </si>
  <si>
    <t>2025-09-11T07:21:20.659Z</t>
  </si>
  <si>
    <t>DEX-TM2-/WRP/MPDEVSTSUM DEX&lt;=&gt;W4P diff</t>
  </si>
  <si>
    <t>2025-09-11T07:21:43.153Z</t>
  </si>
  <si>
    <t/>
  </si>
  <si>
    <t>Transaktion</t>
  </si>
  <si>
    <t>Prozesstyp</t>
  </si>
  <si>
    <t>Priorität</t>
  </si>
  <si>
    <t>Status</t>
  </si>
  <si>
    <t>Auftraggeber</t>
  </si>
  <si>
    <t>IRT-Status</t>
  </si>
  <si>
    <t>Geändert am</t>
  </si>
  <si>
    <t>Störung</t>
  </si>
  <si>
    <t>3: mittelEintrag erfolgreich validiert</t>
  </si>
  <si>
    <t>Würth IT GmbH</t>
  </si>
  <si>
    <t>9/11/2025</t>
  </si>
  <si>
    <t>DEX-TM2-/SAPLOM/X__RELEV DEX&lt;=&gt;W4P diff#10967542</t>
  </si>
  <si>
    <t>Neu</t>
  </si>
  <si>
    <t>4: niedrig</t>
  </si>
  <si>
    <t>DEX-TM2-/WRP/MPDEVSTSUM DEX&lt;=&gt;W4P diff#10967544</t>
  </si>
  <si>
    <t>DEX-TM2-/SAPLOM/X__BELEG DEX&lt;=&gt;W4P diff#10967543</t>
  </si>
  <si>
    <t>DEX-TM2-/WRP/MP_INBIDD DEX&lt;=&gt;W4P diff#10967541</t>
  </si>
  <si>
    <t>DEX-TM2-/WUE/BATNUM_IND DEX&lt;=&gt;W4P diff#10967539</t>
  </si>
  <si>
    <t>DEX-TM2-/WUE/MMC_PL_PO_P DEX&lt;=&gt;W4P diff#10967538</t>
  </si>
  <si>
    <t>DEX-TM2-/WUE/MMDIAB_PMAT DEX&lt;=&gt;W4P diff#10967534</t>
  </si>
  <si>
    <t>DEX-TM2-/WUE/MMV_NRVPROT DEX&lt;=&gt;W4P diff#10967533</t>
  </si>
  <si>
    <t>DEX-TM2-/WUE/MMV_TMSTAMP DEX&lt;=&gt;W4P diff#10967531</t>
  </si>
  <si>
    <t>DEX-TM2-/WUE/MMV_WKBASKE DEX&lt;=&gt;W4P diff#10967530</t>
  </si>
  <si>
    <t>DEX-TM2-/WUE/MP_ZSVW_ACC DEX&lt;=&gt;W4P diff#10967528</t>
  </si>
  <si>
    <t>DEX-TM2-A016 DEX&lt;=&gt;W4P diff#10967527</t>
  </si>
  <si>
    <t>DEX-TM2-A017 DEX&lt;=&gt;W4P diff#10967525</t>
  </si>
  <si>
    <t>DEX-TM2-A018 DEX&lt;=&gt;W4P diff#10967523</t>
  </si>
  <si>
    <t>DEX-TM2-A044 DEX&lt;=&gt;W4P diff#10967522</t>
  </si>
  <si>
    <t>DEX-TM2-A619 DEX&lt;=&gt;W4P diff#10967521</t>
  </si>
  <si>
    <t>DEX-TM2-A725 DEX&lt;=&gt;W4P diff#10967519</t>
  </si>
  <si>
    <t>DEX-TM2-A915 DEX&lt;=&gt;W4P diff#10967518</t>
  </si>
  <si>
    <t>DEX-TM2-A919 DEX&lt;=&gt;W4P diff#10967517</t>
  </si>
  <si>
    <t>DEX-TM2-B025 DEX&lt;=&gt;W4P diff#10967514</t>
  </si>
  <si>
    <t>DEX-TM2-B027 DEX&lt;=&gt;W4P diff#10967512</t>
  </si>
  <si>
    <t>DEX-TM2-B048 DEX&lt;=&gt;W4P diff#10967511</t>
  </si>
  <si>
    <t>DEX-TM2-B049 DEX&lt;=&gt;W4P diff#10967510</t>
  </si>
  <si>
    <t>DEX-TM2-EBAN DEX&lt;=&gt;W4P diff#10967509</t>
  </si>
  <si>
    <t>DEX-TM2-EBEW DEX&lt;=&gt;W4P diff#10967508</t>
  </si>
  <si>
    <t>DEX-TM2-EBKN DEX&lt;=&gt;W4P diff#10967507</t>
  </si>
  <si>
    <t>DEX-TM2-EINA DEX&lt;=&gt;W4P diff#10967506</t>
  </si>
  <si>
    <t>DEX-TM2-EINE DEX&lt;=&gt;W4P diff#10967505</t>
  </si>
  <si>
    <t>DEX-TM2-EKBE DEX&lt;=&gt;W4P diff#10967504</t>
  </si>
  <si>
    <t>DEX-TM2-EKES DEX&lt;=&gt;W4P diff#10967503</t>
  </si>
  <si>
    <t>DEX-TM2-EKET DEX&lt;=&gt;W4P diff#10967501</t>
  </si>
  <si>
    <t>DEX-TM2-EKKN DEX&lt;=&gt;W4P diff#10967499</t>
  </si>
  <si>
    <t>DEX-TM2-EKPA DEX&lt;=&gt;W4P diff#10967498</t>
  </si>
  <si>
    <t>DEX-TM2-EKKO DEX&lt;=&gt;W4P diff#10967497</t>
  </si>
  <si>
    <t>DEX-TM2-EKPO DEX&lt;=&gt;W4P diff#10967496</t>
  </si>
  <si>
    <t>DEX-TM2-EQUK DEX&lt;=&gt;W4P diff#10967495</t>
  </si>
  <si>
    <t>DEX-TM2-EQUP DEX&lt;=&gt;W4P diff#10967494</t>
  </si>
  <si>
    <t>DEX-TM2-ESLL DEX&lt;=&gt;W4P diff#10967492</t>
  </si>
  <si>
    <t>DEX-TM2-HUMSEG DEX&lt;=&gt;W4P diff#10967488</t>
  </si>
  <si>
    <t>DEX-TM2-KONA DEX&lt;=&gt;W4P diff#10967487</t>
  </si>
  <si>
    <t>DEX-TM2-MARD DEX&lt;=&gt;W4P diff#10967486</t>
  </si>
  <si>
    <t>DEX-TM2-MCH1 DEX&lt;=&gt;W4P diff#10967484</t>
  </si>
  <si>
    <t>DEX-TM2-MCHA DEX&lt;=&gt;W4P diff#10967483</t>
  </si>
  <si>
    <t>DEX-TM2-MCHB DEX&lt;=&gt;W4P diff#10967482</t>
  </si>
  <si>
    <t>DEX-TM2-MKOL DEX&lt;=&gt;W4P diff#10967481</t>
  </si>
  <si>
    <t>DEX-TM2-MKPF DEX&lt;=&gt;W4P diff#10967479</t>
  </si>
  <si>
    <t>DEX-TM2-MSEG DEX&lt;=&gt;W4P diff#10967478</t>
  </si>
  <si>
    <t>DEX-TM2-MSKA DEX&lt;=&gt;W4P diff#10967476</t>
  </si>
  <si>
    <t>DEX-TM2-MSKU DEX&lt;=&gt;W4P diff#10967475</t>
  </si>
  <si>
    <t>DEX-TM2-MSLB DEX&lt;=&gt;W4P diff#10967474</t>
  </si>
  <si>
    <t>DEX-TM2-MSSL DEX&lt;=&gt;W4P diff#10967473</t>
  </si>
  <si>
    <t>DEX-TM2-MSPR DEX&lt;=&gt;W4P diff#10967467</t>
  </si>
  <si>
    <t>DEX-TM2-MVER DEX&lt;=&gt;W4P diff#10967464</t>
  </si>
  <si>
    <t>DEX-TM2-QBEW DEX&lt;=&gt;W4P diff#10967463</t>
  </si>
  <si>
    <t>DEX-TM2-RBKP DEX&lt;=&gt;W4P diff#10967460</t>
  </si>
  <si>
    <t>DEX-TM2-RKWA DEX&lt;=&gt;W4P diff#10967458</t>
  </si>
  <si>
    <t>DEX-TM2-RSEG DEX&lt;=&gt;W4P diff#10966976</t>
  </si>
  <si>
    <t>9/10/2025</t>
  </si>
  <si>
    <t>DEX-TM2-S100 DEX&lt;=&gt;W4P diff#10966863</t>
  </si>
  <si>
    <t>DEX-TM2-WYT1 DEX&lt;=&gt;W4P diff#10966611</t>
  </si>
  <si>
    <t>DEX-TM2-S102 DEX&lt;=&gt;W4P diff#10966629</t>
  </si>
  <si>
    <t>DEX-TM2-STAS DEX&lt;=&gt;W4P diff#10966623</t>
  </si>
  <si>
    <t>DEX-TM2-STKO DEX&lt;=&gt;W4P diff#10966620</t>
  </si>
  <si>
    <t>DEX-TM2-STPO DEX&lt;=&gt;W4P diff#10966617</t>
  </si>
  <si>
    <t>DEX-TM2-STST DEX&lt;=&gt;W4P diff#10966616</t>
  </si>
  <si>
    <t>DEX-TM2-STXH DEX&lt;=&gt;W4P diff#10966615</t>
  </si>
  <si>
    <t>DEX-TM2-STZU DEX&lt;=&gt;W4P diff#10966612</t>
  </si>
  <si>
    <t>DEX-TM2-T001W DEX&lt;=&gt;W4P diff#10966610</t>
  </si>
  <si>
    <t>DEX-TM2-VEPO DEX&lt;=&gt;W4P diff#10966608</t>
  </si>
  <si>
    <t>DEX-TM2-WYT3 DEX&lt;=&gt;W4P diff#10966604</t>
  </si>
  <si>
    <t>DEX-TM2-ZBW_IF_QUERY_C DEX&lt;=&gt;W4P diff#10966602</t>
  </si>
  <si>
    <t>DEX-TM2-ZBWRKWATEMP DEX&lt;=&gt;W4P diff#10966599</t>
  </si>
  <si>
    <t>DEX-TM2-ZLO_VKNUM_LGORT DEX&lt;=&gt;W4P diff#10966594</t>
  </si>
  <si>
    <t>DEX-TM2-ZMB_IMSEG_ERR DEX&lt;=&gt;W4P diff#10966591</t>
  </si>
  <si>
    <t>DEX-TM2-ZMB_NIWE_VERB DEX&lt;=&gt;W4P diff#10966589</t>
  </si>
  <si>
    <t>DEX-TM2-ZMBWEZAZL DEX&lt;=&gt;W4P diff#10966588</t>
  </si>
  <si>
    <t>DEX-TM2-ZME_DTYPE_STAT DEX&lt;=&gt;W4P diff#10966568</t>
  </si>
  <si>
    <t>DEX-TM2-ZME_GROPO_STAT DEX&lt;=&gt;W4P diff#10966498</t>
  </si>
  <si>
    <t>DEX-TM2-ZME_LBA_MWSKZ_C DEX&lt;=&gt;W4P diff#10966499</t>
  </si>
  <si>
    <t>DEX-TM2-ZME_SNLDPARA DEX&lt;=&gt;W4P diff#10966495</t>
  </si>
  <si>
    <t>DEX-TM2-ZME_ZERTI_C DEX&lt;=&gt;W4P diff#10966492</t>
  </si>
  <si>
    <t>DEX-TM2-ZME_ZERTCATTX_C DEX&lt;=&gt;W4P diff#10966488</t>
  </si>
  <si>
    <t>DEX-TM2-ZME_ZERTI_SRM_C DEX&lt;=&gt;W4P diff#10966485</t>
  </si>
  <si>
    <t>DEX-TM2-ZME_ZERTITX_C DEX&lt;=&gt;W4P diff#10966483</t>
  </si>
  <si>
    <t>DEX-TM2-ZME_ZERTRANGTX_C DEX&lt;=&gt;W4P diff#10966482</t>
  </si>
  <si>
    <t>DEX-TM2-ZMEIMAILPROD_C DEX&lt;=&gt;W4P diff#10966481</t>
  </si>
  <si>
    <t>DEX-TM2-ZMEIWERTMAIL_C DEX&lt;=&gt;W4P diff#10966479</t>
  </si>
  <si>
    <t>DEX-TM2-ZMEVERFLUSS DEX&lt;=&gt;W4P diff#10966474</t>
  </si>
  <si>
    <t>DEX-TM2-ESDUS DEX&lt;=&gt;W4P diff#10966273</t>
  </si>
  <si>
    <t>9/9/2025</t>
  </si>
  <si>
    <t>https://fl.witglobal.net/#ServiceOrder-approve&amp;amp;/ticket/FAFFDFFC66021FD0A3DDC584C7F21EA8</t>
  </si>
  <si>
    <t>https://fl.witglobal.net/#ServiceOrder-approve&amp;amp;/ticket/FAFFDFFC66021FD0A3DBFA25AC9A4D58</t>
  </si>
  <si>
    <t>https://fl.witglobal.net/#ServiceOrder-approve&amp;amp;/ticket/FAFFDFFC66021FD0A3DD0AF4052F457A</t>
  </si>
  <si>
    <t>https://fl.witglobal.net/#ServiceOrder-approve&amp;amp;/ticket/FAFFDFFC66021FD0A3DBFD707E128C55</t>
  </si>
  <si>
    <t>https://fl.witglobal.net/#ServiceOrder-approve&amp;amp;/ticket/FAFFDFFC66021FD0A3DBFBE22F9E1E63</t>
  </si>
  <si>
    <t>https://fl.witglobal.net/#ServiceOrder-approve&amp;amp;/ticket/FAFFDFFC66021FE0A3DBF87045F80247</t>
  </si>
  <si>
    <t>https://fl.witglobal.net/#ServiceOrder-approve&amp;amp;/ticket/FAFFDFFC66021FD0A3DBF6B925D612DF</t>
  </si>
  <si>
    <t>https://fl.witglobal.net/#ServiceOrder-approve&amp;amp;/ticket/FAFFDFFC66021FD0A3DBF51AEA138EEB</t>
  </si>
  <si>
    <t>https://fl.witglobal.net/#ServiceOrder-approve&amp;amp;/ticket/FAFFDFFC66021FD0A3DBF36E5205D2DF</t>
  </si>
  <si>
    <t>https://fl.witglobal.net/#ServiceOrder-approve&amp;amp;/ticket/FAFFDFFC66021FD0A3DBF1A08D38596A</t>
  </si>
  <si>
    <t>https://fl.witglobal.net/#ServiceOrder-approve&amp;amp;/ticket/FAFFDFFC66021FD0A3DBEFD8D2B60E77</t>
  </si>
  <si>
    <t>https://fl.witglobal.net/#ServiceOrder-approve&amp;amp;/ticket/FAFFDFFC66021FD0A3DBEE21EC0DCFC3</t>
  </si>
  <si>
    <t>https://fl.witglobal.net/#ServiceOrder-approve&amp;amp;/ticket/FAFFDFFC66021FD0A3DBEBCBE1A19F55</t>
  </si>
  <si>
    <t>https://fl.witglobal.net/#ServiceOrder-approve&amp;amp;/ticket/FAFFDFFC66021FD0A3DBEA06078E98A6</t>
  </si>
  <si>
    <t>https://fl.witglobal.net/#ServiceOrder-approve&amp;amp;/ticket/FAFFDFFC66021FD0A3DBE847040A1C10</t>
  </si>
  <si>
    <t>https://fl.witglobal.net/#ServiceOrder-approve&amp;amp;/ticket/FAFFDFFC66021FD0A3DBE6897DCBD2DF</t>
  </si>
  <si>
    <t>https://fl.witglobal.net/#ServiceOrder-approve&amp;amp;/ticket/FAFFDFFC66021FD0A3DBE4E004E85576</t>
  </si>
  <si>
    <t>https://fl.witglobal.net/#ServiceOrder-approve&amp;amp;/ticket/FAFFDFFC66021FD0A3DBE31C4E3ED5F3</t>
  </si>
  <si>
    <t>https://fl.witglobal.net/#ServiceOrder-approve&amp;amp;/ticket/FAFFDFFC66021FD0A3DBE16E11899E44</t>
  </si>
  <si>
    <t>https://fl.witglobal.net/#ServiceOrder-approve&amp;amp;/ticket/FAFFDFFC66021FD0A3DBDFC0BA949559</t>
  </si>
  <si>
    <t>https://fl.witglobal.net/#ServiceOrder-approve&amp;amp;/ticket/FAFFDFFC66021FD0A3DBDE159FF28E77</t>
  </si>
  <si>
    <t>https://fl.witglobal.net/#ServiceOrder-approve&amp;amp;/ticket/FAFFDFFC66021FD0A3DBDC631A6C4D65</t>
  </si>
  <si>
    <t>https://fl.witglobal.net/#ServiceOrder-approve&amp;amp;/ticket/FAFFDFFC66021FE0A3DBDABE72C6DDDC</t>
  </si>
  <si>
    <t>https://fl.witglobal.net/#ServiceOrder-approve&amp;amp;/ticket/FAFFDFFC66021FD0A3DBD9283C885EA8</t>
  </si>
  <si>
    <t>https://fl.witglobal.net/#ServiceOrder-approve&amp;amp;/ticket/FAFFDFFC66021FD0A3DBD75FBA8098FA</t>
  </si>
  <si>
    <t>https://fl.witglobal.net/#ServiceOrder-approve&amp;amp;/ticket/FAFFDFFC66021FD0A3DBD58ED4F8CE77</t>
  </si>
  <si>
    <t>https://fl.witglobal.net/#ServiceOrder-approve&amp;amp;/ticket/FAFFDFFC66021FD0A3DBD3D4C0DB9A8C</t>
  </si>
  <si>
    <t>https://fl.witglobal.net/#ServiceOrder-approve&amp;amp;/ticket/FAFFDFFC66021FD0A3DBD206A13FDC87</t>
  </si>
  <si>
    <t>https://fl.witglobal.net/#ServiceOrder-approve&amp;amp;/ticket/FAFFDFFC66021FE0A3DBD055C3040219</t>
  </si>
  <si>
    <t>https://fl.witglobal.net/#ServiceOrder-approve&amp;amp;/ticket/FAFFDFFC66021FD0A3DBCE5BA242C1C6</t>
  </si>
  <si>
    <t>https://fl.witglobal.net/#ServiceOrder-approve&amp;amp;/ticket/FAFFDFFC66021FD0A3DBCC67E04ACF2D</t>
  </si>
  <si>
    <t>https://fl.witglobal.net/#ServiceOrder-approve&amp;amp;/ticket/FAFFDFFC66021FD0A3DBC9ECE61F55DA</t>
  </si>
  <si>
    <t>https://fl.witglobal.net/#ServiceOrder-approve&amp;amp;/ticket/FAFFDFFC66021FD0A3DBC818101C5A77</t>
  </si>
  <si>
    <t>https://fl.witglobal.net/#ServiceOrder-approve&amp;amp;/ticket/FAFFDFFC66021FD0A3DBC60ED1E5D7C8</t>
  </si>
  <si>
    <t>https://fl.witglobal.net/#ServiceOrder-approve&amp;amp;/ticket/FAFFDFFC66021FE0A3DBC44AAEE91F12</t>
  </si>
  <si>
    <t>https://fl.witglobal.net/#ServiceOrder-approve&amp;amp;/ticket/FAFFDFFC66021FD0A3DBC26CA8891E44</t>
  </si>
  <si>
    <t>https://fl.witglobal.net/#ServiceOrder-approve&amp;amp;/ticket/FAFFDFFC66021FD0A3DBC0BAA5B099C8</t>
  </si>
  <si>
    <t>https://fl.witglobal.net/#ServiceOrder-approve&amp;amp;/ticket/FAFFDFFC66021FD0A3DBBF2410BE59DC</t>
  </si>
  <si>
    <t>https://fl.witglobal.net/#ServiceOrder-approve&amp;amp;/ticket/FAFFDFFC66021FD0A3DBBDA324BE4D58</t>
  </si>
  <si>
    <t>https://fl.witglobal.net/#ServiceOrder-approve&amp;amp;/ticket/FAFFDFFC66021FD0A3DBBC00C1511576</t>
  </si>
  <si>
    <t>https://fl.witglobal.net/#ServiceOrder-approve&amp;amp;/ticket/FAFFDFFC66021FD0A3DBBA661092DF57</t>
  </si>
  <si>
    <t>https://fl.witglobal.net/#ServiceOrder-approve&amp;amp;/ticket/FAFFDFFC66021FD0A3DBB8BC811A1E3B</t>
  </si>
  <si>
    <t>https://fl.witglobal.net/#ServiceOrder-approve&amp;amp;/ticket/FAFFDFFC66021FD0A3DBB7022DDCC57A</t>
  </si>
  <si>
    <t>https://fl.witglobal.net/#ServiceOrder-approve&amp;amp;/ticket/FAFFDFFC66021FD0A3DBB555294B1576</t>
  </si>
  <si>
    <t>https://fl.witglobal.net/#ServiceOrder-approve&amp;amp;/ticket/FAFFDFFC66021FD0A3DBB38975889A8C</t>
  </si>
  <si>
    <t>https://fl.witglobal.net/#ServiceOrder-approve&amp;amp;/ticket/FAFFDFFC66021FD0A3DBB1F4EDA19CC8</t>
  </si>
  <si>
    <t>https://fl.witglobal.net/#ServiceOrder-approve&amp;amp;/ticket/FAFFDFFC66021FD0A3DBB03AE5005DCF</t>
  </si>
  <si>
    <t>https://fl.witglobal.net/#ServiceOrder-approve&amp;amp;/ticket/FAFFDFFC66021FD0A3DBAE7C9F961F98</t>
  </si>
  <si>
    <t>https://fl.witglobal.net/#ServiceOrder-approve&amp;amp;/ticket/FAFFDFFC66021FD0A3DBACD849359E63</t>
  </si>
  <si>
    <t>https://fl.witglobal.net/#ServiceOrder-approve&amp;amp;/ticket/FAFFDFFC66021FE0A3DBAAC5BA0B8247</t>
  </si>
  <si>
    <t>https://fl.witglobal.net/#ServiceOrder-approve&amp;amp;/ticket/FAFFDFFC66021FE0A3DBA9071DB9DDC4</t>
  </si>
  <si>
    <t>https://fl.witglobal.net/#ServiceOrder-approve&amp;amp;/ticket/FAFFDFFC66021FD0A3DBA74B9EE95F98</t>
  </si>
  <si>
    <t>https://fl.witglobal.net/#ServiceOrder-approve&amp;amp;/ticket/FAFFDFFC66021FD0A3DBA55F425D8EEB</t>
  </si>
  <si>
    <t>https://fl.witglobal.net/#ServiceOrder-approve&amp;amp;/ticket/FAFFDFFC66021FD0A3DBA39B43A993BC</t>
  </si>
  <si>
    <t>https://fl.witglobal.net/#ServiceOrder-approve&amp;amp;/ticket/FAFFDFFC66021FD0A3DBA1CE4BF01A28</t>
  </si>
  <si>
    <t>https://fl.witglobal.net/#ServiceOrder-approve&amp;amp;/ticket/FAFFDFFC66021FD0A3DB9FB279861CE5</t>
  </si>
  <si>
    <t>https://fl.witglobal.net/#ServiceOrder-approve&amp;amp;/ticket/FAFFDFFC66021FD0A3DB9DD921064D65</t>
  </si>
  <si>
    <t>https://fl.witglobal.net/#ServiceOrder-approve&amp;amp;/ticket/FAFFDFFC66021FE0A3DB9C3D22EFC705</t>
  </si>
  <si>
    <t>https://fl.witglobal.net/#ServiceOrder-approve&amp;amp;/ticket/FAFFDFFC66021FE0A3CA094C8E2DDEC3</t>
  </si>
  <si>
    <t>https://fl.witglobal.net/#ServiceOrder-approve&amp;amp;/ticket/FAFFDFFC66021FD0A3C8BB18D4C759DC</t>
  </si>
  <si>
    <t>https://fl.witglobal.net/#ServiceOrder-approve&amp;amp;/ticket/FAFFDFFC66021FD0A3C46D0532D089FE</t>
  </si>
  <si>
    <t>https://fl.witglobal.net/#ServiceOrder-approve&amp;amp;/ticket/FAFFDFFC66021FD0A3C495BB27794DD8</t>
  </si>
  <si>
    <t>https://fl.witglobal.net/#ServiceOrder-approve&amp;amp;/ticket/FAFFDFFC66021FE0A3C487D73AD7C2D1</t>
  </si>
  <si>
    <t>https://fl.witglobal.net/#ServiceOrder-approve&amp;amp;/ticket/FAFFDFFC66021FD0A3C480C8E6458787</t>
  </si>
  <si>
    <t>https://fl.witglobal.net/#ServiceOrder-approve&amp;amp;/ticket/FAFFDFFC66021FE0A3C47BDCA9FBD8AA</t>
  </si>
  <si>
    <t>https://fl.witglobal.net/#ServiceOrder-approve&amp;amp;/ticket/FAFFDFFC66021FD0A3C477FABD610692</t>
  </si>
  <si>
    <t>https://fl.witglobal.net/#ServiceOrder-approve&amp;amp;/ticket/FAFFDFFC66021FE0A3C474C741655869</t>
  </si>
  <si>
    <t>https://fl.witglobal.net/#ServiceOrder-approve&amp;amp;/ticket/FAFFDFFC66021FD0A3C46F7C44A20792</t>
  </si>
  <si>
    <t>https://fl.witglobal.net/#ServiceOrder-approve&amp;amp;/ticket/FAFFDFFC66021FD0A3C46BF690198E2B</t>
  </si>
  <si>
    <t>https://fl.witglobal.net/#ServiceOrder-approve&amp;amp;/ticket/FAFFDFFC66021FE0A3C469875B4B5F2B</t>
  </si>
  <si>
    <t>https://fl.witglobal.net/#ServiceOrder-approve&amp;amp;/ticket/FAFFDFFC66021FD0A3C4638D40678C55</t>
  </si>
  <si>
    <t>https://fl.witglobal.net/#ServiceOrder-approve&amp;amp;/ticket/FAFFDFFC66021FE0A3C45FA8C2C61767</t>
  </si>
  <si>
    <t>https://fl.witglobal.net/#ServiceOrder-approve&amp;amp;/ticket/FAFFDFFC66021FD0A3C45BA0503B0E70</t>
  </si>
  <si>
    <t>https://fl.witglobal.net/#ServiceOrder-approve&amp;amp;/ticket/FAFFDFFC66021FE0A3C4559DA28D02D1</t>
  </si>
  <si>
    <t>https://fl.witglobal.net/#ServiceOrder-approve&amp;amp;/ticket/FAFFDFFC66021FD0A3C44FC0A36005B7</t>
  </si>
  <si>
    <t>https://fl.witglobal.net/#ServiceOrder-approve&amp;amp;/ticket/FAFFDFFC66021FD0A3C44BFD8EAB5038</t>
  </si>
  <si>
    <t>https://fl.witglobal.net/#ServiceOrder-approve&amp;amp;/ticket/FAFFDFFC66021FE0A3C441403FDF1A2B</t>
  </si>
  <si>
    <t>https://fl.witglobal.net/#ServiceOrder-approve&amp;amp;/ticket/FAFFDFFC66021FD0A3C3D8EA7B170164</t>
  </si>
  <si>
    <t>https://fl.witglobal.net/#ServiceOrder-approve&amp;amp;/ticket/FAFFDFFC66021FE0A3C2E3C364B2DF8E</t>
  </si>
  <si>
    <t>https://fl.witglobal.net/#ServiceOrder-approve&amp;amp;/ticket/FAFFDFFC66021FD0A3C2E4333327901E</t>
  </si>
  <si>
    <t>https://fl.witglobal.net/#ServiceOrder-approve&amp;amp;/ticket/FAFFDFFC66021FD0A3C2D99FC2228767</t>
  </si>
  <si>
    <t>https://fl.witglobal.net/#ServiceOrder-approve&amp;amp;/ticket/FAFFDFFC66021FD0A3C2D457D8C8C65A</t>
  </si>
  <si>
    <t>https://fl.witglobal.net/#ServiceOrder-approve&amp;amp;/ticket/FAFFDFFC66021FD0A3C2CD4B2747CA8D</t>
  </si>
  <si>
    <t>https://fl.witglobal.net/#ServiceOrder-approve&amp;amp;/ticket/FAFFDFFC66021FE0A3C2C9735E87C3E7</t>
  </si>
  <si>
    <t>https://fl.witglobal.net/#ServiceOrder-approve&amp;amp;/ticket/FAFFDFFC66021FE0A3C2C50A1A6F82D1</t>
  </si>
  <si>
    <t>https://fl.witglobal.net/#ServiceOrder-approve&amp;amp;/ticket/FAFFDFFC66021FD0A3C2C03A97F9DDA3</t>
  </si>
  <si>
    <t>https://fl.witglobal.net/#ServiceOrder-approve&amp;amp;/ticket/FAFFDFFC66021FD0A3C2BB587BD3861B</t>
  </si>
  <si>
    <t>https://fl.witglobal.net/#ServiceOrder-approve&amp;amp;/ticket/FAFFDFFC66021FD0A3C2B665BD4385C5</t>
  </si>
  <si>
    <t>https://fl.witglobal.net/#ServiceOrder-approve&amp;amp;/ticket/FAFFDFFC66021FD0A3C2A8EDCC3C863A</t>
  </si>
  <si>
    <t>https://fl.witglobal.net/#ServiceOrder-approve&amp;amp;/ticket/FAFFDFFC66021FE0A3B3D0B8D0F85C0C</t>
  </si>
  <si>
    <t>https://fl.witglobal.net/#ServiceOrder-approve&amp;amp;/ticket/FAFFDFFC66021FE096E1B72FA4999A67</t>
  </si>
  <si>
    <t>https://fl.witglobal.net/#ServiceOrder-approve&amp;amp;/ticket/D600A522E1021EEFA1C77A2A734991F6</t>
  </si>
  <si>
    <t>https://fl.witglobal.net/#ServiceOrder-approve&amp;amp;/ticket/FAFFDFFC66021FD08EDAF76374E3DEDD</t>
  </si>
  <si>
    <t>https://fl.witglobal.net/#ServiceOrder-approve&amp;amp;/ticket/FAFFDFFC66021EDE98EF6BEB9F635D4A</t>
  </si>
  <si>
    <t>https://fl.witglobal.net/#ServiceOrder-approve&amp;amp;/ticket/D600A522E1021EDF8FD26F8BBFF489D5</t>
  </si>
  <si>
    <t>https://fl.witglobal.net/#ServiceOrder-approve&amp;amp;/ticket/D600A522E1021EDFA48E51493D9CD1B6</t>
  </si>
  <si>
    <t>https://fl.witglobal.net/#ServiceOrder-approve&amp;amp;/ticket/FAFFDFFC66021EEFAB9C05CD0F51CE2E</t>
  </si>
  <si>
    <t>https://fl.witglobal.net/#ServiceOrder-approve&amp;amp;/ticket/D600A522E1021EEF8ED5325958D8112D</t>
  </si>
  <si>
    <t>ticketid</t>
  </si>
  <si>
    <t>ticketlink</t>
  </si>
  <si>
    <t>dbtab</t>
  </si>
  <si>
    <t>S100</t>
  </si>
  <si>
    <t>WYT1</t>
  </si>
  <si>
    <t>S102</t>
  </si>
  <si>
    <t>STAS</t>
  </si>
  <si>
    <t>STKO</t>
  </si>
  <si>
    <t>STPO</t>
  </si>
  <si>
    <t>STST</t>
  </si>
  <si>
    <t>STXH</t>
  </si>
  <si>
    <t>STZU</t>
  </si>
  <si>
    <t>T001W</t>
  </si>
  <si>
    <t>WYT3</t>
  </si>
  <si>
    <t>ZBWRKWATEMP</t>
  </si>
  <si>
    <t>ZMBWEZAZL</t>
  </si>
  <si>
    <t>ZME_DTYPE_STAT</t>
  </si>
  <si>
    <t>ZME_SNLDPARA</t>
  </si>
  <si>
    <t>ZME_ZERTI_C</t>
  </si>
  <si>
    <t>ZME_ZERTCATTX_C</t>
  </si>
  <si>
    <t>ZME_ZERTI_SRM_C</t>
  </si>
  <si>
    <t>ZME_ZERTITX_C</t>
  </si>
  <si>
    <t>ZME_ZERTRANGTX_C</t>
  </si>
  <si>
    <t>ZMEVERFLUSS</t>
  </si>
  <si>
    <t>filename</t>
  </si>
  <si>
    <t>_SAPLOM_X__RELEV.htm</t>
  </si>
  <si>
    <t>_WRP_MPDEVSTSUM.htm</t>
  </si>
  <si>
    <t>_SAPLOM_X__BELEG.htm</t>
  </si>
  <si>
    <t>_WRP_MP_INBIDD.htm</t>
  </si>
  <si>
    <t>_WUE_BATNUM_IND.htm</t>
  </si>
  <si>
    <t>_WUE_MMC_PL_PO_P.htm</t>
  </si>
  <si>
    <t>_WUE_MMDIAB_PMAT.htm</t>
  </si>
  <si>
    <t>_WUE_MMV_NRVPROT.htm</t>
  </si>
  <si>
    <t>_WUE_MMV_TMSTAMP.htm</t>
  </si>
  <si>
    <t>_WUE_MMV_WKBASKE.htm</t>
  </si>
  <si>
    <t>_WUE_MP_ZSVW_ACC.htm</t>
  </si>
  <si>
    <t>A016.htm</t>
  </si>
  <si>
    <t>A017.htm</t>
  </si>
  <si>
    <t>A018.htm</t>
  </si>
  <si>
    <t>A044.htm</t>
  </si>
  <si>
    <t>A619.htm</t>
  </si>
  <si>
    <t>A725.htm</t>
  </si>
  <si>
    <t>A915.htm</t>
  </si>
  <si>
    <t>A919.htm</t>
  </si>
  <si>
    <t>B025.htm</t>
  </si>
  <si>
    <t>B027.htm</t>
  </si>
  <si>
    <t>B048.htm</t>
  </si>
  <si>
    <t>B049.htm</t>
  </si>
  <si>
    <t>EBAN.htm</t>
  </si>
  <si>
    <t>EBEW.htm</t>
  </si>
  <si>
    <t>EBKN.htm</t>
  </si>
  <si>
    <t>EINA.htm</t>
  </si>
  <si>
    <t>EINE.htm</t>
  </si>
  <si>
    <t>EKBE.htm</t>
  </si>
  <si>
    <t>EKES.htm</t>
  </si>
  <si>
    <t>EKET.htm</t>
  </si>
  <si>
    <t>EKKN.htm</t>
  </si>
  <si>
    <t>EKPA.htm</t>
  </si>
  <si>
    <t>EKKO.htm</t>
  </si>
  <si>
    <t>EKPO.htm</t>
  </si>
  <si>
    <t>EQUK.htm</t>
  </si>
  <si>
    <t>EQUP.htm</t>
  </si>
  <si>
    <t>ESLL.htm</t>
  </si>
  <si>
    <t>HUMSEG.htm</t>
  </si>
  <si>
    <t>KONA.htm</t>
  </si>
  <si>
    <t>MARD.htm</t>
  </si>
  <si>
    <t>MCH1.htm</t>
  </si>
  <si>
    <t>MCHA.htm</t>
  </si>
  <si>
    <t>MCHB.htm</t>
  </si>
  <si>
    <t>MKOL.htm</t>
  </si>
  <si>
    <t>MKPF.htm</t>
  </si>
  <si>
    <t>MSEG.htm</t>
  </si>
  <si>
    <t>MSKA.htm</t>
  </si>
  <si>
    <t>MSKU.htm</t>
  </si>
  <si>
    <t>MSLB.htm</t>
  </si>
  <si>
    <t>MSSL.htm</t>
  </si>
  <si>
    <t>MSPR.htm</t>
  </si>
  <si>
    <t>MVER.htm</t>
  </si>
  <si>
    <t>QBEW.htm</t>
  </si>
  <si>
    <t>RBKP.htm</t>
  </si>
  <si>
    <t>RKWA.htm</t>
  </si>
  <si>
    <t>RSEG.htm</t>
  </si>
  <si>
    <t>S100.htm</t>
  </si>
  <si>
    <t>WYT1.htm</t>
  </si>
  <si>
    <t>S102.htm</t>
  </si>
  <si>
    <t>STAS.htm</t>
  </si>
  <si>
    <t>STKO.htm</t>
  </si>
  <si>
    <t>STPO.htm</t>
  </si>
  <si>
    <t>STST.htm</t>
  </si>
  <si>
    <t>STXH.htm</t>
  </si>
  <si>
    <t>STZU.htm</t>
  </si>
  <si>
    <t>T001W.htm</t>
  </si>
  <si>
    <t>VEPO.htm</t>
  </si>
  <si>
    <t>WYT3.htm</t>
  </si>
  <si>
    <t>ZBW_IF_QUERY_C.htm</t>
  </si>
  <si>
    <t>ZBWRKWATEMP.htm</t>
  </si>
  <si>
    <t>ZLO_VKNUM_LGORT.htm</t>
  </si>
  <si>
    <t>ZMB_IMSEG_ERR.htm</t>
  </si>
  <si>
    <t>ZMB_NIWE_VERB.htm</t>
  </si>
  <si>
    <t>ZMBWEZAZL.htm</t>
  </si>
  <si>
    <t>ZME_DTYPE_STAT.htm</t>
  </si>
  <si>
    <t>ZME_GROPO_STAT.htm</t>
  </si>
  <si>
    <t>ZME_LBA_MWSKZ_C.htm</t>
  </si>
  <si>
    <t>ZME_SNLDPARA.htm</t>
  </si>
  <si>
    <t>ZME_ZERTI_C.htm</t>
  </si>
  <si>
    <t>ZME_ZERTCATTX_C.htm</t>
  </si>
  <si>
    <t>ZME_ZERTI_SRM_C.htm</t>
  </si>
  <si>
    <t>ZME_ZERTITX_C.htm</t>
  </si>
  <si>
    <t>ZME_ZERTRANGTX_C.htm</t>
  </si>
  <si>
    <t>ZMEIMAILPROD_C.htm</t>
  </si>
  <si>
    <t>ZMEIWERTMAIL_C.htm</t>
  </si>
  <si>
    <t>ZMEVERFLUSS.htm</t>
  </si>
  <si>
    <t>ESDUS.htm</t>
  </si>
  <si>
    <t>Spalte1</t>
  </si>
  <si>
    <t>ticketuid</t>
  </si>
  <si>
    <t>FAFFDFFC66021FD0A3DBFA25AC9A4D58</t>
  </si>
  <si>
    <t>FAFFDFFC66021FD0A3DBFD707E128C55</t>
  </si>
  <si>
    <t>FAFFDFFC66021FD0A3DBFBE22F9E1E63</t>
  </si>
  <si>
    <t>FAFFDFFC66021FE0A3DBF87045F80247</t>
  </si>
  <si>
    <t>FAFFDFFC66021FD0A3DBF6B925D612DF</t>
  </si>
  <si>
    <t>FAFFDFFC66021FD0A3DBF51AEA138EEB</t>
  </si>
  <si>
    <t>FAFFDFFC66021FD0A3DBF36E5205D2DF</t>
  </si>
  <si>
    <t>FAFFDFFC66021FD0A3DBF1A08D38596A</t>
  </si>
  <si>
    <t>FAFFDFFC66021FD0A3DBEFD8D2B60E77</t>
  </si>
  <si>
    <t>FAFFDFFC66021FD0A3DBEE21EC0DCFC3</t>
  </si>
  <si>
    <t>FAFFDFFC66021FD0A3DBEBCBE1A19F55</t>
  </si>
  <si>
    <t>FAFFDFFC66021FD0A3DBEA06078E98A6</t>
  </si>
  <si>
    <t>FAFFDFFC66021FD0A3DBE847040A1C10</t>
  </si>
  <si>
    <t>FAFFDFFC66021FD0A3DBE6897DCBD2DF</t>
  </si>
  <si>
    <t>FAFFDFFC66021FD0A3DBE4E004E85576</t>
  </si>
  <si>
    <t>FAFFDFFC66021FD0A3DBE31C4E3ED5F3</t>
  </si>
  <si>
    <t>FAFFDFFC66021FD0A3DBE16E11899E44</t>
  </si>
  <si>
    <t>FAFFDFFC66021FD0A3DBDFC0BA949559</t>
  </si>
  <si>
    <t>FAFFDFFC66021FD0A3DBDE159FF28E77</t>
  </si>
  <si>
    <t>FAFFDFFC66021FD0A3DBDC631A6C4D65</t>
  </si>
  <si>
    <t>FAFFDFFC66021FE0A3DBDABE72C6DDDC</t>
  </si>
  <si>
    <t>FAFFDFFC66021FD0A3DBD9283C885EA8</t>
  </si>
  <si>
    <t>FAFFDFFC66021FD0A3DBD75FBA8098FA</t>
  </si>
  <si>
    <t>FAFFDFFC66021FD0A3DBD58ED4F8CE77</t>
  </si>
  <si>
    <t>FAFFDFFC66021FD0A3DBD3D4C0DB9A8C</t>
  </si>
  <si>
    <t>FAFFDFFC66021FD0A3DBD206A13FDC87</t>
  </si>
  <si>
    <t>FAFFDFFC66021FE0A3DBD055C3040219</t>
  </si>
  <si>
    <t>FAFFDFFC66021FD0A3DBCE5BA242C1C6</t>
  </si>
  <si>
    <t>FAFFDFFC66021FD0A3DBCC67E04ACF2D</t>
  </si>
  <si>
    <t>FAFFDFFC66021FD0A3DBC9ECE61F55DA</t>
  </si>
  <si>
    <t>FAFFDFFC66021FD0A3DBC818101C5A77</t>
  </si>
  <si>
    <t>FAFFDFFC66021FD0A3DBC60ED1E5D7C8</t>
  </si>
  <si>
    <t>FAFFDFFC66021FE0A3DBC44AAEE91F12</t>
  </si>
  <si>
    <t>FAFFDFFC66021FD0A3DBC26CA8891E44</t>
  </si>
  <si>
    <t>FAFFDFFC66021FD0A3DBC0BAA5B099C8</t>
  </si>
  <si>
    <t>FAFFDFFC66021FD0A3DBBF2410BE59DC</t>
  </si>
  <si>
    <t>FAFFDFFC66021FD0A3DBBDA324BE4D58</t>
  </si>
  <si>
    <t>FAFFDFFC66021FD0A3DBBC00C1511576</t>
  </si>
  <si>
    <t>FAFFDFFC66021FD0A3DBBA661092DF57</t>
  </si>
  <si>
    <t>FAFFDFFC66021FD0A3DBB8BC811A1E3B</t>
  </si>
  <si>
    <t>FAFFDFFC66021FD0A3DBB7022DDCC57A</t>
  </si>
  <si>
    <t>FAFFDFFC66021FD0A3DBB555294B1576</t>
  </si>
  <si>
    <t>FAFFDFFC66021FD0A3DBB38975889A8C</t>
  </si>
  <si>
    <t>FAFFDFFC66021FD0A3DBB1F4EDA19CC8</t>
  </si>
  <si>
    <t>FAFFDFFC66021FD0A3DBB03AE5005DCF</t>
  </si>
  <si>
    <t>FAFFDFFC66021FD0A3DBAE7C9F961F98</t>
  </si>
  <si>
    <t>FAFFDFFC66021FD0A3DBACD849359E63</t>
  </si>
  <si>
    <t>FAFFDFFC66021FE0A3DBAAC5BA0B8247</t>
  </si>
  <si>
    <t>FAFFDFFC66021FE0A3DBA9071DB9DDC4</t>
  </si>
  <si>
    <t>FAFFDFFC66021FD0A3DBA74B9EE95F98</t>
  </si>
  <si>
    <t>FAFFDFFC66021FD0A3DBA55F425D8EEB</t>
  </si>
  <si>
    <t>FAFFDFFC66021FD0A3DBA39B43A993BC</t>
  </si>
  <si>
    <t>FAFFDFFC66021FD0A3DBA1CE4BF01A28</t>
  </si>
  <si>
    <t>FAFFDFFC66021FD0A3DB9FB279861CE5</t>
  </si>
  <si>
    <t>FAFFDFFC66021FD0A3DB9DD921064D65</t>
  </si>
  <si>
    <t>FAFFDFFC66021FE0A3DB9C3D22EFC705</t>
  </si>
  <si>
    <t>FAFFDFFC66021FE0A3CA094C8E2DDEC3</t>
  </si>
  <si>
    <t>FAFFDFFC66021FD0A3C8BB18D4C759DC</t>
  </si>
  <si>
    <t>FAFFDFFC66021FD0A3C46D0532D089FE</t>
  </si>
  <si>
    <t>FAFFDFFC66021FD0A3C495BB27794DD8</t>
  </si>
  <si>
    <t>FAFFDFFC66021FE0A3C487D73AD7C2D1</t>
  </si>
  <si>
    <t>FAFFDFFC66021FD0A3C480C8E6458787</t>
  </si>
  <si>
    <t>FAFFDFFC66021FE0A3C47BDCA9FBD8AA</t>
  </si>
  <si>
    <t>FAFFDFFC66021FD0A3C477FABD610692</t>
  </si>
  <si>
    <t>FAFFDFFC66021FE0A3C474C741655869</t>
  </si>
  <si>
    <t>FAFFDFFC66021FD0A3C46F7C44A20792</t>
  </si>
  <si>
    <t>FAFFDFFC66021FD0A3C46BF690198E2B</t>
  </si>
  <si>
    <t>FAFFDFFC66021FE0A3C469875B4B5F2B</t>
  </si>
  <si>
    <t>FAFFDFFC66021FD0A3C4638D40678C55</t>
  </si>
  <si>
    <t>FAFFDFFC66021FE0A3C45FA8C2C61767</t>
  </si>
  <si>
    <t>FAFFDFFC66021FD0A3C45BA0503B0E70</t>
  </si>
  <si>
    <t>FAFFDFFC66021FE0A3C4559DA28D02D1</t>
  </si>
  <si>
    <t>FAFFDFFC66021FD0A3C44FC0A36005B7</t>
  </si>
  <si>
    <t>FAFFDFFC66021FD0A3C44BFD8EAB5038</t>
  </si>
  <si>
    <t>FAFFDFFC66021FE0A3C441403FDF1A2B</t>
  </si>
  <si>
    <t>FAFFDFFC66021FD0A3C3D8EA7B170164</t>
  </si>
  <si>
    <t>FAFFDFFC66021FE0A3C2E3C364B2DF8E</t>
  </si>
  <si>
    <t>FAFFDFFC66021FD0A3C2E4333327901E</t>
  </si>
  <si>
    <t>FAFFDFFC66021FD0A3C2D99FC2228767</t>
  </si>
  <si>
    <t>FAFFDFFC66021FD0A3C2D457D8C8C65A</t>
  </si>
  <si>
    <t>FAFFDFFC66021FD0A3C2CD4B2747CA8D</t>
  </si>
  <si>
    <t>FAFFDFFC66021FE0A3C2C9735E87C3E7</t>
  </si>
  <si>
    <t>FAFFDFFC66021FE0A3C2C50A1A6F82D1</t>
  </si>
  <si>
    <t>FAFFDFFC66021FD0A3C2C03A97F9DDA3</t>
  </si>
  <si>
    <t>FAFFDFFC66021FD0A3C2BB587BD3861B</t>
  </si>
  <si>
    <t>FAFFDFFC66021FD0A3C2B665BD4385C5</t>
  </si>
  <si>
    <t>FAFFDFFC66021FD0A3C2A8EDCC3C863A</t>
  </si>
  <si>
    <t>FAFFDFFC66021FE0A3B3D0B8D0F85C0C</t>
  </si>
  <si>
    <t>https://fl.witglobal.net/#ServiceOrder-approve&amp;/ticket/FAFFDFFC66021FD0A3DBFA25AC9A4D58</t>
  </si>
  <si>
    <t>https://fl.witglobal.net/#ServiceOrder-approve&amp;/ticket/FAFFDFFC66021FD0A3DBFD707E128C55</t>
  </si>
  <si>
    <t>https://fl.witglobal.net/#ServiceOrder-approve&amp;/ticket/FAFFDFFC66021FD0A3DBFBE22F9E1E63</t>
  </si>
  <si>
    <t>https://fl.witglobal.net/#ServiceOrder-approve&amp;/ticket/FAFFDFFC66021FE0A3DBF87045F80247</t>
  </si>
  <si>
    <t>https://fl.witglobal.net/#ServiceOrder-approve&amp;/ticket/FAFFDFFC66021FD0A3DBF6B925D612DF</t>
  </si>
  <si>
    <t>https://fl.witglobal.net/#ServiceOrder-approve&amp;/ticket/FAFFDFFC66021FD0A3DBF51AEA138EEB</t>
  </si>
  <si>
    <t>https://fl.witglobal.net/#ServiceOrder-approve&amp;/ticket/FAFFDFFC66021FD0A3DBF36E5205D2DF</t>
  </si>
  <si>
    <t>https://fl.witglobal.net/#ServiceOrder-approve&amp;/ticket/FAFFDFFC66021FD0A3DBF1A08D38596A</t>
  </si>
  <si>
    <t>https://fl.witglobal.net/#ServiceOrder-approve&amp;/ticket/FAFFDFFC66021FD0A3DBEFD8D2B60E77</t>
  </si>
  <si>
    <t>https://fl.witglobal.net/#ServiceOrder-approve&amp;/ticket/FAFFDFFC66021FD0A3DBEE21EC0DCFC3</t>
  </si>
  <si>
    <t>https://fl.witglobal.net/#ServiceOrder-approve&amp;/ticket/FAFFDFFC66021FD0A3DBEBCBE1A19F55</t>
  </si>
  <si>
    <t>https://fl.witglobal.net/#ServiceOrder-approve&amp;/ticket/FAFFDFFC66021FD0A3DBEA06078E98A6</t>
  </si>
  <si>
    <t>https://fl.witglobal.net/#ServiceOrder-approve&amp;/ticket/FAFFDFFC66021FD0A3DBE847040A1C10</t>
  </si>
  <si>
    <t>https://fl.witglobal.net/#ServiceOrder-approve&amp;/ticket/FAFFDFFC66021FD0A3DBE6897DCBD2DF</t>
  </si>
  <si>
    <t>https://fl.witglobal.net/#ServiceOrder-approve&amp;/ticket/FAFFDFFC66021FD0A3DBE4E004E85576</t>
  </si>
  <si>
    <t>https://fl.witglobal.net/#ServiceOrder-approve&amp;/ticket/FAFFDFFC66021FD0A3DBE31C4E3ED5F3</t>
  </si>
  <si>
    <t>https://fl.witglobal.net/#ServiceOrder-approve&amp;/ticket/FAFFDFFC66021FD0A3DBE16E11899E44</t>
  </si>
  <si>
    <t>https://fl.witglobal.net/#ServiceOrder-approve&amp;/ticket/FAFFDFFC66021FD0A3DBDFC0BA949559</t>
  </si>
  <si>
    <t>https://fl.witglobal.net/#ServiceOrder-approve&amp;/ticket/FAFFDFFC66021FD0A3DBDE159FF28E77</t>
  </si>
  <si>
    <t>https://fl.witglobal.net/#ServiceOrder-approve&amp;/ticket/FAFFDFFC66021FD0A3DBDC631A6C4D65</t>
  </si>
  <si>
    <t>https://fl.witglobal.net/#ServiceOrder-approve&amp;/ticket/FAFFDFFC66021FE0A3DBDABE72C6DDDC</t>
  </si>
  <si>
    <t>https://fl.witglobal.net/#ServiceOrder-approve&amp;/ticket/FAFFDFFC66021FD0A3DBD9283C885EA8</t>
  </si>
  <si>
    <t>https://fl.witglobal.net/#ServiceOrder-approve&amp;/ticket/FAFFDFFC66021FD0A3DBD75FBA8098FA</t>
  </si>
  <si>
    <t>https://fl.witglobal.net/#ServiceOrder-approve&amp;/ticket/FAFFDFFC66021FD0A3DBD58ED4F8CE77</t>
  </si>
  <si>
    <t>https://fl.witglobal.net/#ServiceOrder-approve&amp;/ticket/FAFFDFFC66021FD0A3DBD3D4C0DB9A8C</t>
  </si>
  <si>
    <t>https://fl.witglobal.net/#ServiceOrder-approve&amp;/ticket/FAFFDFFC66021FD0A3DBD206A13FDC87</t>
  </si>
  <si>
    <t>https://fl.witglobal.net/#ServiceOrder-approve&amp;/ticket/FAFFDFFC66021FE0A3DBD055C3040219</t>
  </si>
  <si>
    <t>https://fl.witglobal.net/#ServiceOrder-approve&amp;/ticket/FAFFDFFC66021FD0A3DBCE5BA242C1C6</t>
  </si>
  <si>
    <t>https://fl.witglobal.net/#ServiceOrder-approve&amp;/ticket/FAFFDFFC66021FD0A3DBCC67E04ACF2D</t>
  </si>
  <si>
    <t>https://fl.witglobal.net/#ServiceOrder-approve&amp;/ticket/FAFFDFFC66021FD0A3DBC9ECE61F55DA</t>
  </si>
  <si>
    <t>https://fl.witglobal.net/#ServiceOrder-approve&amp;/ticket/FAFFDFFC66021FD0A3DBC818101C5A77</t>
  </si>
  <si>
    <t>https://fl.witglobal.net/#ServiceOrder-approve&amp;/ticket/FAFFDFFC66021FD0A3DBC60ED1E5D7C8</t>
  </si>
  <si>
    <t>https://fl.witglobal.net/#ServiceOrder-approve&amp;/ticket/FAFFDFFC66021FE0A3DBC44AAEE91F12</t>
  </si>
  <si>
    <t>https://fl.witglobal.net/#ServiceOrder-approve&amp;/ticket/FAFFDFFC66021FD0A3DBC26CA8891E44</t>
  </si>
  <si>
    <t>https://fl.witglobal.net/#ServiceOrder-approve&amp;/ticket/FAFFDFFC66021FD0A3DBC0BAA5B099C8</t>
  </si>
  <si>
    <t>https://fl.witglobal.net/#ServiceOrder-approve&amp;/ticket/FAFFDFFC66021FD0A3DBBF2410BE59DC</t>
  </si>
  <si>
    <t>https://fl.witglobal.net/#ServiceOrder-approve&amp;/ticket/FAFFDFFC66021FD0A3DBBDA324BE4D58</t>
  </si>
  <si>
    <t>https://fl.witglobal.net/#ServiceOrder-approve&amp;/ticket/FAFFDFFC66021FD0A3DBBC00C1511576</t>
  </si>
  <si>
    <t>https://fl.witglobal.net/#ServiceOrder-approve&amp;/ticket/FAFFDFFC66021FD0A3DBBA661092DF57</t>
  </si>
  <si>
    <t>https://fl.witglobal.net/#ServiceOrder-approve&amp;/ticket/FAFFDFFC66021FD0A3DBB8BC811A1E3B</t>
  </si>
  <si>
    <t>https://fl.witglobal.net/#ServiceOrder-approve&amp;/ticket/FAFFDFFC66021FD0A3DBB7022DDCC57A</t>
  </si>
  <si>
    <t>https://fl.witglobal.net/#ServiceOrder-approve&amp;/ticket/FAFFDFFC66021FD0A3DBB555294B1576</t>
  </si>
  <si>
    <t>https://fl.witglobal.net/#ServiceOrder-approve&amp;/ticket/FAFFDFFC66021FD0A3DBB38975889A8C</t>
  </si>
  <si>
    <t>https://fl.witglobal.net/#ServiceOrder-approve&amp;/ticket/FAFFDFFC66021FD0A3DBB1F4EDA19CC8</t>
  </si>
  <si>
    <t>https://fl.witglobal.net/#ServiceOrder-approve&amp;/ticket/FAFFDFFC66021FD0A3DBB03AE5005DCF</t>
  </si>
  <si>
    <t>https://fl.witglobal.net/#ServiceOrder-approve&amp;/ticket/FAFFDFFC66021FD0A3DBAE7C9F961F98</t>
  </si>
  <si>
    <t>https://fl.witglobal.net/#ServiceOrder-approve&amp;/ticket/FAFFDFFC66021FD0A3DBACD849359E63</t>
  </si>
  <si>
    <t>https://fl.witglobal.net/#ServiceOrder-approve&amp;/ticket/FAFFDFFC66021FE0A3DBAAC5BA0B8247</t>
  </si>
  <si>
    <t>https://fl.witglobal.net/#ServiceOrder-approve&amp;/ticket/FAFFDFFC66021FE0A3DBA9071DB9DDC4</t>
  </si>
  <si>
    <t>https://fl.witglobal.net/#ServiceOrder-approve&amp;/ticket/FAFFDFFC66021FD0A3DBA74B9EE95F98</t>
  </si>
  <si>
    <t>https://fl.witglobal.net/#ServiceOrder-approve&amp;/ticket/FAFFDFFC66021FD0A3DBA55F425D8EEB</t>
  </si>
  <si>
    <t>https://fl.witglobal.net/#ServiceOrder-approve&amp;/ticket/FAFFDFFC66021FD0A3DBA39B43A993BC</t>
  </si>
  <si>
    <t>https://fl.witglobal.net/#ServiceOrder-approve&amp;/ticket/FAFFDFFC66021FD0A3DBA1CE4BF01A28</t>
  </si>
  <si>
    <t>https://fl.witglobal.net/#ServiceOrder-approve&amp;/ticket/FAFFDFFC66021FD0A3DB9FB279861CE5</t>
  </si>
  <si>
    <t>https://fl.witglobal.net/#ServiceOrder-approve&amp;/ticket/FAFFDFFC66021FD0A3DB9DD921064D65</t>
  </si>
  <si>
    <t>https://fl.witglobal.net/#ServiceOrder-approve&amp;/ticket/FAFFDFFC66021FE0A3DB9C3D22EFC705</t>
  </si>
  <si>
    <t>https://fl.witglobal.net/#ServiceOrder-approve&amp;/ticket/FAFFDFFC66021FE0A3CA094C8E2DDEC3</t>
  </si>
  <si>
    <t>https://fl.witglobal.net/#ServiceOrder-approve&amp;/ticket/FAFFDFFC66021FD0A3C8BB18D4C759DC</t>
  </si>
  <si>
    <t>https://fl.witglobal.net/#ServiceOrder-approve&amp;/ticket/FAFFDFFC66021FD0A3C46D0532D089FE</t>
  </si>
  <si>
    <t>https://fl.witglobal.net/#ServiceOrder-approve&amp;/ticket/FAFFDFFC66021FD0A3C495BB27794DD8</t>
  </si>
  <si>
    <t>https://fl.witglobal.net/#ServiceOrder-approve&amp;/ticket/FAFFDFFC66021FE0A3C487D73AD7C2D1</t>
  </si>
  <si>
    <t>https://fl.witglobal.net/#ServiceOrder-approve&amp;/ticket/FAFFDFFC66021FD0A3C480C8E6458787</t>
  </si>
  <si>
    <t>https://fl.witglobal.net/#ServiceOrder-approve&amp;/ticket/FAFFDFFC66021FE0A3C47BDCA9FBD8AA</t>
  </si>
  <si>
    <t>https://fl.witglobal.net/#ServiceOrder-approve&amp;/ticket/FAFFDFFC66021FD0A3C477FABD610692</t>
  </si>
  <si>
    <t>https://fl.witglobal.net/#ServiceOrder-approve&amp;/ticket/FAFFDFFC66021FE0A3C474C741655869</t>
  </si>
  <si>
    <t>https://fl.witglobal.net/#ServiceOrder-approve&amp;/ticket/FAFFDFFC66021FD0A3C46F7C44A20792</t>
  </si>
  <si>
    <t>https://fl.witglobal.net/#ServiceOrder-approve&amp;/ticket/FAFFDFFC66021FD0A3C46BF690198E2B</t>
  </si>
  <si>
    <t>https://fl.witglobal.net/#ServiceOrder-approve&amp;/ticket/FAFFDFFC66021FE0A3C469875B4B5F2B</t>
  </si>
  <si>
    <t>https://fl.witglobal.net/#ServiceOrder-approve&amp;/ticket/FAFFDFFC66021FD0A3C4638D40678C55</t>
  </si>
  <si>
    <t>https://fl.witglobal.net/#ServiceOrder-approve&amp;/ticket/FAFFDFFC66021FE0A3C45FA8C2C61767</t>
  </si>
  <si>
    <t>https://fl.witglobal.net/#ServiceOrder-approve&amp;/ticket/FAFFDFFC66021FD0A3C45BA0503B0E70</t>
  </si>
  <si>
    <t>https://fl.witglobal.net/#ServiceOrder-approve&amp;/ticket/FAFFDFFC66021FE0A3C4559DA28D02D1</t>
  </si>
  <si>
    <t>https://fl.witglobal.net/#ServiceOrder-approve&amp;/ticket/FAFFDFFC66021FD0A3C44FC0A36005B7</t>
  </si>
  <si>
    <t>https://fl.witglobal.net/#ServiceOrder-approve&amp;/ticket/FAFFDFFC66021FD0A3C44BFD8EAB5038</t>
  </si>
  <si>
    <t>https://fl.witglobal.net/#ServiceOrder-approve&amp;/ticket/FAFFDFFC66021FE0A3C441403FDF1A2B</t>
  </si>
  <si>
    <t>https://fl.witglobal.net/#ServiceOrder-approve&amp;/ticket/FAFFDFFC66021FD0A3C3D8EA7B170164</t>
  </si>
  <si>
    <t>https://fl.witglobal.net/#ServiceOrder-approve&amp;/ticket/FAFFDFFC66021FE0A3C2E3C364B2DF8E</t>
  </si>
  <si>
    <t>https://fl.witglobal.net/#ServiceOrder-approve&amp;/ticket/FAFFDFFC66021FD0A3C2E4333327901E</t>
  </si>
  <si>
    <t>https://fl.witglobal.net/#ServiceOrder-approve&amp;/ticket/FAFFDFFC66021FD0A3C2D99FC2228767</t>
  </si>
  <si>
    <t>https://fl.witglobal.net/#ServiceOrder-approve&amp;/ticket/FAFFDFFC66021FD0A3C2D457D8C8C65A</t>
  </si>
  <si>
    <t>https://fl.witglobal.net/#ServiceOrder-approve&amp;/ticket/FAFFDFFC66021FD0A3C2CD4B2747CA8D</t>
  </si>
  <si>
    <t>https://fl.witglobal.net/#ServiceOrder-approve&amp;/ticket/FAFFDFFC66021FE0A3C2C9735E87C3E7</t>
  </si>
  <si>
    <t>https://fl.witglobal.net/#ServiceOrder-approve&amp;/ticket/FAFFDFFC66021FE0A3C2C50A1A6F82D1</t>
  </si>
  <si>
    <t>https://fl.witglobal.net/#ServiceOrder-approve&amp;/ticket/FAFFDFFC66021FD0A3C2C03A97F9DDA3</t>
  </si>
  <si>
    <t>https://fl.witglobal.net/#ServiceOrder-approve&amp;/ticket/FAFFDFFC66021FD0A3C2BB587BD3861B</t>
  </si>
  <si>
    <t>https://fl.witglobal.net/#ServiceOrder-approve&amp;/ticket/FAFFDFFC66021FD0A3C2B665BD4385C5</t>
  </si>
  <si>
    <t>https://fl.witglobal.net/#ServiceOrder-approve&amp;/ticket/FAFFDFFC66021FD0A3C2A8EDCC3C863A</t>
  </si>
  <si>
    <t>https://fl.witglobal.net/#ServiceOrder-approve&amp;/ticket/FAFFDFFC66021FE0A3B3D0B8D0F85C0C</t>
  </si>
  <si>
    <t>A016.xlsx</t>
  </si>
  <si>
    <t>A017.xlsx</t>
  </si>
  <si>
    <t>A018.xlsx</t>
  </si>
  <si>
    <t>A044.xlsx</t>
  </si>
  <si>
    <t>A619.xlsx</t>
  </si>
  <si>
    <t>A725.xlsx</t>
  </si>
  <si>
    <t>A915.xlsx</t>
  </si>
  <si>
    <t>A919.xlsx</t>
  </si>
  <si>
    <t>B025.xlsx</t>
  </si>
  <si>
    <t>B027.xlsx</t>
  </si>
  <si>
    <t>B048.xlsx</t>
  </si>
  <si>
    <t>B049.xlsx</t>
  </si>
  <si>
    <t>EBAN.xlsx</t>
  </si>
  <si>
    <t>EBEW.xlsx</t>
  </si>
  <si>
    <t>EBKN.xlsx</t>
  </si>
  <si>
    <t>EINA.xlsx</t>
  </si>
  <si>
    <t>EKBE.xlsx</t>
  </si>
  <si>
    <t>EKES.xlsx</t>
  </si>
  <si>
    <t>EKET.xlsx</t>
  </si>
  <si>
    <t>EKKN.xlsx</t>
  </si>
  <si>
    <t>EKKO.xlsx</t>
  </si>
  <si>
    <t>EKPA.xlsx</t>
  </si>
  <si>
    <t>EQUK.xlsx</t>
  </si>
  <si>
    <t>EQUP.xlsx</t>
  </si>
  <si>
    <t>ESLL.xlsx</t>
  </si>
  <si>
    <t>HUMSEG.xlsx</t>
  </si>
  <si>
    <t>KONA.xlsx</t>
  </si>
  <si>
    <t>MARD.xlsx</t>
  </si>
  <si>
    <t>MCH1.xlsx</t>
  </si>
  <si>
    <t>MCHA.xlsx</t>
  </si>
  <si>
    <t>MCHB.xlsx</t>
  </si>
  <si>
    <t>MKOL.xlsx</t>
  </si>
  <si>
    <t>MKPF.xlsx</t>
  </si>
  <si>
    <t>MSEG.xlsx</t>
  </si>
  <si>
    <t>MSKA.xlsx</t>
  </si>
  <si>
    <t>MSKU.xlsx</t>
  </si>
  <si>
    <t>MSLB.xlsx</t>
  </si>
  <si>
    <t>MSPR.xlsx</t>
  </si>
  <si>
    <t>MSSL.xlsx</t>
  </si>
  <si>
    <t>MVER.xlsx</t>
  </si>
  <si>
    <t>QBEW.xlsx</t>
  </si>
  <si>
    <t>RBKP.xlsx</t>
  </si>
  <si>
    <t>RKWA.xlsx</t>
  </si>
  <si>
    <t>_SAPLOM_X__BELEG.xlsx</t>
  </si>
  <si>
    <t>_SAPLOM_X__RELEV.xlsx</t>
  </si>
  <si>
    <t>_WRP_MPDEVSTSUM.xlsx</t>
  </si>
  <si>
    <t>_WRP_MP_INBIDD.xlsx</t>
  </si>
  <si>
    <t>_WUE_BATNUM_IND.xlsx</t>
  </si>
  <si>
    <t>_WUE_MMC_PL_PO_P.xlsx</t>
  </si>
  <si>
    <t>_WUE_MMDIAB_PMAT.xlsx</t>
  </si>
  <si>
    <t>_WUE_MMV_NRVPROT.xlsx</t>
  </si>
  <si>
    <t>_WUE_MMV_TMSTAMP.xlsx</t>
  </si>
  <si>
    <t>_WUE_MMV_WKBASKE.xlsx</t>
  </si>
  <si>
    <t>_WUE_MP_ZSVW_ACC.xlsx</t>
  </si>
  <si>
    <t>erstellt?</t>
  </si>
  <si>
    <t>neu</t>
  </si>
  <si>
    <t>zu löschen</t>
  </si>
  <si>
    <t>delete</t>
  </si>
  <si>
    <t>_WUE_MP_ZSVW_ACC__WUE_MMV_WKBASKE</t>
  </si>
  <si>
    <t>_WRP_MP_INBIDD__WRP_MMC_ADJINFR</t>
  </si>
  <si>
    <t>_WRP_MPDEVSTSUM__WRP_MMC_ADJINFR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</si>
</sst>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top"/>
    </xf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1" applyNumberFormat="1"/>
    <xf numFmtId="0" fontId="0" fillId="0" borderId="0" xfId="0" applyNumberFormat="1"/>
    <xf numFmtId="0" fontId="0" fillId="2" borderId="1" xfId="0" applyNumberFormat="1" applyFont="1" applyFill="1" applyBorder="1"/>
    <xf numFmtId="0" fontId="0" fillId="0" borderId="1" xfId="0" applyNumberFormat="1" applyFont="1" applyBorder="1"/>
    <xf numFmtId="0" fontId="1" fillId="0" borderId="0" xfId="1"/>
  </cellXfs>
  <cellStyles count="2">
    <cellStyle name="Link" xfId="1" builtinId="8"/>
    <cellStyle name="Standard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C9C7F621-73E9-4537-8035-0C95484C8837}" autoFormatId="16" applyNumberFormats="0" applyBorderFormats="0" applyFontFormats="0" applyPatternFormats="0" applyAlignmentFormats="0" applyWidthHeightFormats="0">
  <queryTableRefresh nextId="23" unboundColumnsRight="9">
    <queryTableFields count="16"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1"/>
      <queryTableField id="21" dataBound="0" tableColumnId="2"/>
      <queryTableField id="22" dataBound="0" tableColumnId="10"/>
    </queryTableFields>
    <queryTableDeletedFields count="6">
      <deletedField name="Column1"/>
      <deletedField name="Column2"/>
      <deletedField name="Column10"/>
      <deletedField name="Column11"/>
      <deletedField name="Column12"/>
      <deletedField name="Column1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78614B-C54D-4A6D-8CA2-D421C3C0E895}" name="convertcsv" displayName="convertcsv" ref="A1:P89" tableType="queryTable" totalsRowShown="0">
  <autoFilter ref="A1:P89" xr:uid="{5678614B-C54D-4A6D-8CA2-D421C3C0E895}">
    <filterColumn colId="14">
      <filters>
        <filter val="_SAPLOM_X__BELEG.xlsx"/>
        <filter val="_SAPLOM_X__RELEV.xlsx"/>
        <filter val="_WRP_MP_INBIDD.xlsx"/>
        <filter val="_WRP_MPDEVSTSUM.xlsx"/>
        <filter val="_WUE_BATNUM_IND.xlsx"/>
        <filter val="_WUE_MMC_PL_PO_P.xlsx"/>
        <filter val="_WUE_MMDIAB_PMAT.xlsx"/>
        <filter val="_WUE_MMV_NRVPROT.xlsx"/>
        <filter val="_WUE_MMV_TMSTAMP.xlsx"/>
        <filter val="_WUE_MMV_WKBASKE.xlsx"/>
        <filter val="_WUE_MP_ZSVW_ACC.xlsx"/>
        <filter val="A016.xlsx"/>
        <filter val="A017.xlsx"/>
        <filter val="A018.xlsx"/>
        <filter val="A044.xlsx"/>
        <filter val="A619.xlsx"/>
        <filter val="A725.xlsx"/>
        <filter val="A915.xlsx"/>
        <filter val="A919.xlsx"/>
        <filter val="B025.xlsx"/>
        <filter val="B027.xlsx"/>
        <filter val="B048.xlsx"/>
        <filter val="B049.xlsx"/>
        <filter val="EBAN.xlsx"/>
        <filter val="EBEW.xlsx"/>
        <filter val="EBKN.xlsx"/>
        <filter val="EINA.xlsx"/>
        <filter val="EINE.xlsx"/>
        <filter val="EKBE.xlsx"/>
        <filter val="EKES.xlsx"/>
        <filter val="EKET.xlsx"/>
        <filter val="EKKN.xlsx"/>
        <filter val="EKKO.xlsx"/>
        <filter val="EKPA.xlsx"/>
        <filter val="EKPO.xlsx"/>
        <filter val="EQUK.xlsx"/>
        <filter val="EQUP.xlsx"/>
        <filter val="ESLL.xlsx"/>
        <filter val="HUMSEG.xlsx"/>
        <filter val="KONA.xlsx"/>
        <filter val="MARD.xlsx"/>
        <filter val="MCH1.xlsx"/>
        <filter val="MCHA.xlsx"/>
        <filter val="MCHB.xlsx"/>
        <filter val="MKOL.xlsx"/>
        <filter val="MKPF.xlsx"/>
        <filter val="MSEG.xlsx"/>
        <filter val="MSKA.xlsx"/>
        <filter val="MSKU.xlsx"/>
        <filter val="MSLB.xlsx"/>
        <filter val="MSPR.xlsx"/>
        <filter val="MSSL.xlsx"/>
        <filter val="MVER.xlsx"/>
        <filter val="QBEW.xlsx"/>
        <filter val="RBKP.xlsx"/>
        <filter val="RKWA.xlsx"/>
      </filters>
    </filterColumn>
  </autoFilter>
  <tableColumns count="16">
    <tableColumn id="3" xr3:uid="{B70BA810-612F-4DB3-ACAA-B3B7441EC7CA}" uniqueName="3" name="Transaktion" queryTableFieldId="3" dataDxfId="15"/>
    <tableColumn id="4" xr3:uid="{0D53304B-2122-4388-91FF-E2F553135893}" uniqueName="4" name="Prozesstyp" queryTableFieldId="4" dataDxfId="14"/>
    <tableColumn id="5" xr3:uid="{9921C00F-F5AE-423A-9890-44CA93C4BF74}" uniqueName="5" name="Priorität" queryTableFieldId="5" dataDxfId="13"/>
    <tableColumn id="6" xr3:uid="{239CF78E-82FA-425A-B0A1-9E1C24D8F115}" uniqueName="6" name="Status" queryTableFieldId="6" dataDxfId="12"/>
    <tableColumn id="7" xr3:uid="{33D7DF33-71D8-4FDC-975A-ECA2C1A6FC3C}" uniqueName="7" name="Auftraggeber" queryTableFieldId="7" dataDxfId="11"/>
    <tableColumn id="8" xr3:uid="{28666ABF-ACF2-42C7-A8C8-9B9A2E7BA92D}" uniqueName="8" name="IRT-Status" queryTableFieldId="8" dataDxfId="10"/>
    <tableColumn id="9" xr3:uid="{5F4C1084-2C1A-486E-8034-EAB6918C37D2}" uniqueName="9" name="Geändert am" queryTableFieldId="9" dataDxfId="9"/>
    <tableColumn id="14" xr3:uid="{017CC0A6-39EB-4319-BF12-20AF451907C5}" uniqueName="14" name="ticketid" queryTableFieldId="14" dataDxfId="8"/>
    <tableColumn id="15" xr3:uid="{840B2719-3436-42DF-B2CE-8957F7E3B2C1}" uniqueName="15" name="ticketlink" queryTableFieldId="15" dataDxfId="7"/>
    <tableColumn id="16" xr3:uid="{C87D4FC4-0D53-4AFF-B4DD-AA1227FA5F92}" uniqueName="16" name="dbtab" queryTableFieldId="16" dataDxfId="6"/>
    <tableColumn id="17" xr3:uid="{6B02A244-B872-45C7-88DD-FAFF6456CDAD}" uniqueName="17" name="filename" queryTableFieldId="17" dataDxfId="5"/>
    <tableColumn id="18" xr3:uid="{E8C7D9B0-0E77-46F3-9FD3-442A659727E7}" uniqueName="18" name="Spalte1" queryTableFieldId="18" dataDxfId="1">
      <calculatedColumnFormula>_xlfn.CONCAT("{ ",CHAR(34),"filename",CHAR(34),": ",CHAR(34),convertcsv[[#This Row],[neu]],CHAR(34),",",CHAR(34),"ticketuuid",CHAR(34),":"," ",CHAR(34),convertcsv[[#This Row],[ticketuid]],CHAR(34)," },")</calculatedColumnFormula>
    </tableColumn>
    <tableColumn id="19" xr3:uid="{E143E3C3-AE27-44A1-93BC-8269C41AB6DB}" uniqueName="19" name="ticketuid" queryTableFieldId="19" dataDxfId="4"/>
    <tableColumn id="1" xr3:uid="{6F51EA53-A728-4150-BD9B-9B3EAF8E2BD8}" uniqueName="1" name="erstellt?" queryTableFieldId="20" dataDxfId="2">
      <calculatedColumnFormula>VLOOKUP(convertcsv[[#This Row],[neu]],Tabelle1!$A$1:$A$55,1,FALSE)</calculatedColumnFormula>
    </tableColumn>
    <tableColumn id="2" xr3:uid="{F52DD0EC-5ABB-4945-8726-AA58B46600EF}" uniqueName="2" name="neu" queryTableFieldId="21" dataDxfId="3">
      <calculatedColumnFormula>REPLACE(convertcsv[[#This Row],[filename]],FIND(".htm",convertcsv[[#This Row],[filename]]),4,".xlsx")</calculatedColumnFormula>
    </tableColumn>
    <tableColumn id="10" xr3:uid="{A6CADEAD-F122-45AC-8450-38B280B0D2DB}" uniqueName="10" name="delete" queryTableFieldId="22" dataDxfId="0">
      <calculatedColumnFormula>convertcsv[[#This Row],[ticketuid]] &amp; "," &amp; convertcsv[[#This Row],[neu]]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fl.witglobal.net/" TargetMode="External"/><Relationship Id="rId2" Type="http://schemas.openxmlformats.org/officeDocument/2006/relationships/hyperlink" Target="https://fl.witglobal.net/" TargetMode="External"/><Relationship Id="rId1" Type="http://schemas.openxmlformats.org/officeDocument/2006/relationships/hyperlink" Target="https://fl.witglobal.net/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57"/>
  <sheetViews>
    <sheetView workbookViewId="0">
      <selection activeCell="G63" sqref="G63"/>
    </sheetView>
  </sheetViews>
  <sheetFormatPr baseColWidth="10" defaultColWidth="9.140625" defaultRowHeight="15" x14ac:dyDescent="0.25"/>
  <cols>
    <col min="1" max="1" width="37.85546875" bestFit="1" customWidth="1"/>
    <col min="2" max="2" width="6.28515625" bestFit="1" customWidth="1"/>
    <col min="3" max="3" width="10.140625" style="2" bestFit="1" customWidth="1"/>
    <col min="4" max="4" width="9.140625" style="3"/>
    <col min="5" max="5" width="12.85546875" style="4" bestFit="1" customWidth="1"/>
    <col min="7" max="7" width="65.85546875" customWidth="1"/>
    <col min="8" max="8" width="10.85546875" bestFit="1" customWidth="1"/>
    <col min="9" max="9" width="21.7109375" bestFit="1" customWidth="1"/>
  </cols>
  <sheetData>
    <row r="1" spans="1:10" x14ac:dyDescent="0.25">
      <c r="A1" t="s">
        <v>0</v>
      </c>
      <c r="B1" t="s">
        <v>1</v>
      </c>
      <c r="C1" s="2" t="s">
        <v>2</v>
      </c>
      <c r="D1" s="3" t="s">
        <v>3</v>
      </c>
      <c r="E1" s="4" t="s">
        <v>4</v>
      </c>
      <c r="F1" t="s">
        <v>116</v>
      </c>
      <c r="G1" t="s">
        <v>118</v>
      </c>
      <c r="H1" t="s">
        <v>376</v>
      </c>
    </row>
    <row r="2" spans="1:10" hidden="1" x14ac:dyDescent="0.25">
      <c r="A2" s="1" t="s">
        <v>5</v>
      </c>
      <c r="B2" s="1" t="s">
        <v>61</v>
      </c>
      <c r="C2" s="2">
        <v>45909</v>
      </c>
      <c r="D2" s="3">
        <v>0.62745370370370002</v>
      </c>
      <c r="E2" s="4" t="s">
        <v>62</v>
      </c>
      <c r="F2" t="s">
        <v>117</v>
      </c>
      <c r="G2" t="str">
        <f t="shared" ref="G2:G9" si="0">_xlfn.REGEXREPLACE(REPLACE(A2,1,8,""),"_5K?_?D?E?S?.+","",,1)</f>
        <v>RKWA</v>
      </c>
      <c r="H2" t="e">
        <f>VLOOKUP(G2,erlaubt!$A:$A,1,FALSE)</f>
        <v>#N/A</v>
      </c>
      <c r="I2" t="str">
        <f>VLOOKUP(G2,ergebnis!E:E,1,FALSE)</f>
        <v>RKWA</v>
      </c>
      <c r="J2" t="e">
        <f>VLOOKUP(List1!G2,Tabelle1!A:A,1,FALSE)</f>
        <v>#N/A</v>
      </c>
    </row>
    <row r="3" spans="1:10" hidden="1" x14ac:dyDescent="0.25">
      <c r="A3" s="1" t="s">
        <v>6</v>
      </c>
      <c r="B3" s="1" t="s">
        <v>61</v>
      </c>
      <c r="C3" s="2">
        <v>45909</v>
      </c>
      <c r="D3" s="3">
        <v>0.62686342592593003</v>
      </c>
      <c r="E3" s="4" t="s">
        <v>63</v>
      </c>
      <c r="F3" t="s">
        <v>117</v>
      </c>
      <c r="G3" t="str">
        <f t="shared" si="0"/>
        <v>RBKP</v>
      </c>
      <c r="H3" t="e">
        <f>VLOOKUP(G3,erlaubt!$A:$A,1,FALSE)</f>
        <v>#N/A</v>
      </c>
      <c r="I3" t="str">
        <f>VLOOKUP(G3,ergebnis!E:E,1,FALSE)</f>
        <v>RBKP</v>
      </c>
    </row>
    <row r="4" spans="1:10" hidden="1" x14ac:dyDescent="0.25">
      <c r="A4" s="1" t="s">
        <v>7</v>
      </c>
      <c r="B4" s="1" t="s">
        <v>61</v>
      </c>
      <c r="C4" s="2">
        <v>45909</v>
      </c>
      <c r="D4" s="3">
        <v>0.61954861111111004</v>
      </c>
      <c r="E4" s="4" t="s">
        <v>64</v>
      </c>
      <c r="F4" t="s">
        <v>117</v>
      </c>
      <c r="G4" t="str">
        <f t="shared" si="0"/>
        <v>QBEW</v>
      </c>
      <c r="H4" t="e">
        <f>VLOOKUP(G4,erlaubt!$A:$A,1,FALSE)</f>
        <v>#N/A</v>
      </c>
      <c r="I4" t="str">
        <f>VLOOKUP(G4,ergebnis!E:E,1,FALSE)</f>
        <v>QBEW</v>
      </c>
    </row>
    <row r="5" spans="1:10" hidden="1" x14ac:dyDescent="0.25">
      <c r="A5" s="1" t="s">
        <v>8</v>
      </c>
      <c r="B5" s="1" t="s">
        <v>61</v>
      </c>
      <c r="C5" s="2">
        <v>45909</v>
      </c>
      <c r="D5" s="3">
        <v>0.6124537037037</v>
      </c>
      <c r="E5" s="4" t="s">
        <v>65</v>
      </c>
      <c r="F5" t="s">
        <v>117</v>
      </c>
      <c r="G5" t="str">
        <f t="shared" si="0"/>
        <v>MVER</v>
      </c>
      <c r="H5" t="e">
        <f>VLOOKUP(G5,erlaubt!$A:$A,1,FALSE)</f>
        <v>#N/A</v>
      </c>
      <c r="I5" t="str">
        <f>VLOOKUP(G5,ergebnis!E:E,1,FALSE)</f>
        <v>MVER</v>
      </c>
    </row>
    <row r="6" spans="1:10" hidden="1" x14ac:dyDescent="0.25">
      <c r="A6" s="1" t="s">
        <v>9</v>
      </c>
      <c r="B6" s="1" t="s">
        <v>61</v>
      </c>
      <c r="C6" s="2">
        <v>45909</v>
      </c>
      <c r="D6" s="3">
        <v>0.61174768518518996</v>
      </c>
      <c r="E6" s="4" t="s">
        <v>66</v>
      </c>
      <c r="F6" t="s">
        <v>117</v>
      </c>
      <c r="G6" t="str">
        <f t="shared" si="0"/>
        <v>MSPR</v>
      </c>
      <c r="H6" t="e">
        <f>VLOOKUP(G6,erlaubt!$A:$A,1,FALSE)</f>
        <v>#N/A</v>
      </c>
      <c r="I6" t="str">
        <f>VLOOKUP(G6,ergebnis!E:E,1,FALSE)</f>
        <v>MSPR</v>
      </c>
    </row>
    <row r="7" spans="1:10" hidden="1" x14ac:dyDescent="0.25">
      <c r="A7" s="1" t="s">
        <v>10</v>
      </c>
      <c r="B7" s="1" t="s">
        <v>61</v>
      </c>
      <c r="C7" s="2">
        <v>45909</v>
      </c>
      <c r="D7" s="3">
        <v>0.61172453703703999</v>
      </c>
      <c r="E7" s="4" t="s">
        <v>67</v>
      </c>
      <c r="F7" t="s">
        <v>117</v>
      </c>
      <c r="G7" t="str">
        <f t="shared" si="0"/>
        <v>MSSL</v>
      </c>
      <c r="H7" t="e">
        <f>VLOOKUP(G7,erlaubt!$A:$A,1,FALSE)</f>
        <v>#N/A</v>
      </c>
      <c r="I7" t="str">
        <f>VLOOKUP(G7,ergebnis!E:E,1,FALSE)</f>
        <v>MSSL</v>
      </c>
    </row>
    <row r="8" spans="1:10" hidden="1" x14ac:dyDescent="0.25">
      <c r="A8" s="1" t="s">
        <v>11</v>
      </c>
      <c r="B8" s="1" t="s">
        <v>61</v>
      </c>
      <c r="C8" s="2">
        <v>45909</v>
      </c>
      <c r="D8" s="3">
        <v>0.61106481481481001</v>
      </c>
      <c r="E8" s="4" t="s">
        <v>68</v>
      </c>
      <c r="F8" t="s">
        <v>117</v>
      </c>
      <c r="G8" t="str">
        <f t="shared" si="0"/>
        <v>MSLB</v>
      </c>
      <c r="H8" t="e">
        <f>VLOOKUP(G8,erlaubt!$A:$A,1,FALSE)</f>
        <v>#N/A</v>
      </c>
      <c r="I8" t="str">
        <f>VLOOKUP(G8,ergebnis!E:E,1,FALSE)</f>
        <v>MSLB</v>
      </c>
    </row>
    <row r="9" spans="1:10" hidden="1" x14ac:dyDescent="0.25">
      <c r="A9" s="1" t="s">
        <v>12</v>
      </c>
      <c r="B9" s="1" t="s">
        <v>61</v>
      </c>
      <c r="C9" s="2">
        <v>45909</v>
      </c>
      <c r="D9" s="3">
        <v>0.61103009259259</v>
      </c>
      <c r="E9" s="4" t="s">
        <v>69</v>
      </c>
      <c r="F9" t="s">
        <v>117</v>
      </c>
      <c r="G9" t="str">
        <f t="shared" si="0"/>
        <v>MSKU</v>
      </c>
      <c r="H9" t="e">
        <f>VLOOKUP(G9,erlaubt!$A:$A,1,FALSE)</f>
        <v>#N/A</v>
      </c>
      <c r="I9" t="str">
        <f>VLOOKUP(G9,ergebnis!E:E,1,FALSE)</f>
        <v>MSKU</v>
      </c>
    </row>
    <row r="10" spans="1:10" hidden="1" x14ac:dyDescent="0.25">
      <c r="A10" s="1" t="s">
        <v>13</v>
      </c>
      <c r="B10" s="1" t="s">
        <v>61</v>
      </c>
      <c r="C10" s="2">
        <v>45909</v>
      </c>
      <c r="D10" s="3">
        <v>0.61019675925925998</v>
      </c>
      <c r="E10" s="4" t="s">
        <v>70</v>
      </c>
      <c r="F10" t="s">
        <v>117</v>
      </c>
      <c r="G10" t="str">
        <f t="shared" ref="G10:G38" si="1">_xlfn.REGEXREPLACE(REPLACE(A10,1,8,""),"_5K?_?D?E?S?.+","",,1)</f>
        <v>MSKA</v>
      </c>
      <c r="H10" t="e">
        <f>VLOOKUP(G10,erlaubt!$A:$A,1,FALSE)</f>
        <v>#N/A</v>
      </c>
      <c r="I10" t="str">
        <f>VLOOKUP(G10,ergebnis!E:E,1,FALSE)</f>
        <v>MSKA</v>
      </c>
    </row>
    <row r="11" spans="1:10" hidden="1" x14ac:dyDescent="0.25">
      <c r="A11" s="1" t="s">
        <v>14</v>
      </c>
      <c r="B11" s="1" t="s">
        <v>61</v>
      </c>
      <c r="C11" s="2">
        <v>45909</v>
      </c>
      <c r="D11" s="3">
        <v>0.61008101851852004</v>
      </c>
      <c r="E11" s="4" t="s">
        <v>71</v>
      </c>
      <c r="F11" t="s">
        <v>117</v>
      </c>
      <c r="G11" t="str">
        <f t="shared" si="1"/>
        <v>MSEG</v>
      </c>
      <c r="H11" t="e">
        <f>VLOOKUP(G11,erlaubt!$A:$A,1,FALSE)</f>
        <v>#N/A</v>
      </c>
      <c r="I11" t="str">
        <f>VLOOKUP(G11,ergebnis!E:E,1,FALSE)</f>
        <v>MSEG</v>
      </c>
    </row>
    <row r="12" spans="1:10" hidden="1" x14ac:dyDescent="0.25">
      <c r="A12" s="1" t="s">
        <v>15</v>
      </c>
      <c r="B12" s="1" t="s">
        <v>61</v>
      </c>
      <c r="C12" s="2">
        <v>45909</v>
      </c>
      <c r="D12" s="3">
        <v>0.60841435185185</v>
      </c>
      <c r="E12" s="4" t="s">
        <v>72</v>
      </c>
      <c r="F12" t="s">
        <v>117</v>
      </c>
      <c r="G12" t="str">
        <f t="shared" si="1"/>
        <v>MKPF</v>
      </c>
      <c r="H12" t="e">
        <f>VLOOKUP(G12,erlaubt!$A:$A,1,FALSE)</f>
        <v>#N/A</v>
      </c>
      <c r="I12" t="str">
        <f>VLOOKUP(G12,ergebnis!E:E,1,FALSE)</f>
        <v>MKPF</v>
      </c>
    </row>
    <row r="13" spans="1:10" hidden="1" x14ac:dyDescent="0.25">
      <c r="A13" s="1" t="s">
        <v>16</v>
      </c>
      <c r="B13" s="1" t="s">
        <v>61</v>
      </c>
      <c r="C13" s="2">
        <v>45909</v>
      </c>
      <c r="D13" s="3">
        <v>0.60791666666666999</v>
      </c>
      <c r="E13" s="4" t="s">
        <v>73</v>
      </c>
      <c r="F13" t="s">
        <v>117</v>
      </c>
      <c r="G13" t="str">
        <f t="shared" si="1"/>
        <v>MKOL</v>
      </c>
      <c r="H13" t="e">
        <f>VLOOKUP(G13,erlaubt!$A:$A,1,FALSE)</f>
        <v>#N/A</v>
      </c>
      <c r="I13" t="str">
        <f>VLOOKUP(G13,ergebnis!E:E,1,FALSE)</f>
        <v>MKOL</v>
      </c>
    </row>
    <row r="14" spans="1:10" hidden="1" x14ac:dyDescent="0.25">
      <c r="A14" s="1" t="s">
        <v>17</v>
      </c>
      <c r="B14" s="1" t="s">
        <v>61</v>
      </c>
      <c r="C14" s="2">
        <v>45909</v>
      </c>
      <c r="D14" s="3">
        <v>0.60511574074074004</v>
      </c>
      <c r="E14" s="4" t="s">
        <v>74</v>
      </c>
      <c r="F14" t="s">
        <v>117</v>
      </c>
      <c r="G14" t="str">
        <f t="shared" si="1"/>
        <v>MCHB</v>
      </c>
      <c r="H14" t="e">
        <f>VLOOKUP(G14,erlaubt!$A:$A,1,FALSE)</f>
        <v>#N/A</v>
      </c>
      <c r="I14" t="str">
        <f>VLOOKUP(G14,ergebnis!E:E,1,FALSE)</f>
        <v>MCHB</v>
      </c>
    </row>
    <row r="15" spans="1:10" hidden="1" x14ac:dyDescent="0.25">
      <c r="A15" s="1" t="s">
        <v>18</v>
      </c>
      <c r="B15" s="1" t="s">
        <v>61</v>
      </c>
      <c r="C15" s="2">
        <v>45909</v>
      </c>
      <c r="D15" s="3">
        <v>0.60498842592593005</v>
      </c>
      <c r="E15" s="4" t="s">
        <v>75</v>
      </c>
      <c r="F15" t="s">
        <v>117</v>
      </c>
      <c r="G15" t="str">
        <f t="shared" si="1"/>
        <v>MCHA</v>
      </c>
      <c r="H15" t="e">
        <f>VLOOKUP(G15,erlaubt!$A:$A,1,FALSE)</f>
        <v>#N/A</v>
      </c>
      <c r="I15" t="str">
        <f>VLOOKUP(G15,ergebnis!E:E,1,FALSE)</f>
        <v>MCHA</v>
      </c>
    </row>
    <row r="16" spans="1:10" hidden="1" x14ac:dyDescent="0.25">
      <c r="A16" s="1" t="s">
        <v>19</v>
      </c>
      <c r="B16" s="1" t="s">
        <v>61</v>
      </c>
      <c r="C16" s="2">
        <v>45909</v>
      </c>
      <c r="D16" s="3">
        <v>0.60444444444444001</v>
      </c>
      <c r="E16" s="4" t="s">
        <v>76</v>
      </c>
      <c r="F16" t="s">
        <v>117</v>
      </c>
      <c r="G16" t="str">
        <f t="shared" si="1"/>
        <v>MCH1</v>
      </c>
      <c r="H16" t="e">
        <f>VLOOKUP(G16,erlaubt!$A:$A,1,FALSE)</f>
        <v>#N/A</v>
      </c>
      <c r="I16" t="str">
        <f>VLOOKUP(G16,ergebnis!E:E,1,FALSE)</f>
        <v>MCH1</v>
      </c>
    </row>
    <row r="17" spans="1:9" hidden="1" x14ac:dyDescent="0.25">
      <c r="A17" s="1" t="s">
        <v>20</v>
      </c>
      <c r="B17" s="1" t="s">
        <v>61</v>
      </c>
      <c r="C17" s="2">
        <v>45909</v>
      </c>
      <c r="D17" s="3">
        <v>0.60333333333332995</v>
      </c>
      <c r="E17" s="4" t="s">
        <v>77</v>
      </c>
      <c r="F17" t="s">
        <v>117</v>
      </c>
      <c r="G17" t="str">
        <f t="shared" si="1"/>
        <v>MARD</v>
      </c>
      <c r="H17" t="e">
        <f>VLOOKUP(G17,erlaubt!$A:$A,1,FALSE)</f>
        <v>#N/A</v>
      </c>
      <c r="I17" t="str">
        <f>VLOOKUP(G17,ergebnis!E:E,1,FALSE)</f>
        <v>MARD</v>
      </c>
    </row>
    <row r="18" spans="1:9" hidden="1" x14ac:dyDescent="0.25">
      <c r="A18" s="1" t="s">
        <v>21</v>
      </c>
      <c r="B18" s="1" t="s">
        <v>61</v>
      </c>
      <c r="C18" s="2">
        <v>45909</v>
      </c>
      <c r="D18" s="3">
        <v>0.59946759259258997</v>
      </c>
      <c r="E18" s="4" t="s">
        <v>78</v>
      </c>
      <c r="F18" t="s">
        <v>117</v>
      </c>
      <c r="G18" t="str">
        <f t="shared" si="1"/>
        <v>KONA</v>
      </c>
      <c r="H18" t="e">
        <f>VLOOKUP(G18,erlaubt!$A:$A,1,FALSE)</f>
        <v>#N/A</v>
      </c>
      <c r="I18" t="str">
        <f>VLOOKUP(G18,ergebnis!E:E,1,FALSE)</f>
        <v>KONA</v>
      </c>
    </row>
    <row r="19" spans="1:9" hidden="1" x14ac:dyDescent="0.25">
      <c r="A19" s="1" t="s">
        <v>22</v>
      </c>
      <c r="B19" s="1" t="s">
        <v>61</v>
      </c>
      <c r="C19" s="2">
        <v>45909</v>
      </c>
      <c r="D19" s="3">
        <v>0.59643518518519001</v>
      </c>
      <c r="E19" s="4" t="s">
        <v>79</v>
      </c>
      <c r="F19" t="s">
        <v>117</v>
      </c>
      <c r="G19" t="str">
        <f t="shared" si="1"/>
        <v>HUMSEG</v>
      </c>
      <c r="H19" t="e">
        <f>VLOOKUP(G19,erlaubt!$A:$A,1,FALSE)</f>
        <v>#N/A</v>
      </c>
      <c r="I19" t="str">
        <f>VLOOKUP(G19,ergebnis!E:E,1,FALSE)</f>
        <v>HUMSEG</v>
      </c>
    </row>
    <row r="20" spans="1:9" hidden="1" x14ac:dyDescent="0.25">
      <c r="A20" s="1" t="s">
        <v>23</v>
      </c>
      <c r="B20" s="1" t="s">
        <v>61</v>
      </c>
      <c r="C20" s="2">
        <v>45909</v>
      </c>
      <c r="D20" s="3">
        <v>0.59559027777777995</v>
      </c>
      <c r="E20" s="4" t="s">
        <v>80</v>
      </c>
      <c r="F20" t="s">
        <v>117</v>
      </c>
      <c r="G20" t="str">
        <f t="shared" si="1"/>
        <v>ESLL</v>
      </c>
      <c r="H20" t="e">
        <f>VLOOKUP(G20,erlaubt!$A:$A,1,FALSE)</f>
        <v>#N/A</v>
      </c>
      <c r="I20" t="str">
        <f>VLOOKUP(G20,ergebnis!E:E,1,FALSE)</f>
        <v>ESLL</v>
      </c>
    </row>
    <row r="21" spans="1:9" hidden="1" x14ac:dyDescent="0.25">
      <c r="A21" s="1" t="s">
        <v>24</v>
      </c>
      <c r="B21" s="1" t="s">
        <v>61</v>
      </c>
      <c r="C21" s="2">
        <v>45909</v>
      </c>
      <c r="D21" s="3">
        <v>0.59421296296296</v>
      </c>
      <c r="E21" s="4" t="s">
        <v>81</v>
      </c>
      <c r="F21" t="s">
        <v>117</v>
      </c>
      <c r="G21" t="str">
        <f t="shared" si="1"/>
        <v>EQUP</v>
      </c>
      <c r="H21" t="e">
        <f>VLOOKUP(G21,erlaubt!$A:$A,1,FALSE)</f>
        <v>#N/A</v>
      </c>
      <c r="I21" t="str">
        <f>VLOOKUP(G21,ergebnis!E:E,1,FALSE)</f>
        <v>EQUP</v>
      </c>
    </row>
    <row r="22" spans="1:9" hidden="1" x14ac:dyDescent="0.25">
      <c r="A22" s="1" t="s">
        <v>25</v>
      </c>
      <c r="B22" s="1" t="s">
        <v>61</v>
      </c>
      <c r="C22" s="2">
        <v>45909</v>
      </c>
      <c r="D22" s="3">
        <v>0.59391203703703999</v>
      </c>
      <c r="E22" s="4" t="s">
        <v>82</v>
      </c>
      <c r="F22" t="s">
        <v>117</v>
      </c>
      <c r="G22" t="str">
        <f t="shared" si="1"/>
        <v>EQUK</v>
      </c>
      <c r="H22" t="e">
        <f>VLOOKUP(G22,erlaubt!$A:$A,1,FALSE)</f>
        <v>#N/A</v>
      </c>
      <c r="I22" t="str">
        <f>VLOOKUP(G22,ergebnis!E:E,1,FALSE)</f>
        <v>EQUK</v>
      </c>
    </row>
    <row r="23" spans="1:9" x14ac:dyDescent="0.25">
      <c r="A23" s="1" t="s">
        <v>26</v>
      </c>
      <c r="B23" s="1" t="s">
        <v>61</v>
      </c>
      <c r="C23" s="2">
        <v>45909</v>
      </c>
      <c r="D23" s="3">
        <v>0.59293981481480995</v>
      </c>
      <c r="E23" s="4" t="s">
        <v>83</v>
      </c>
      <c r="F23" t="s">
        <v>117</v>
      </c>
      <c r="G23" t="str">
        <f t="shared" si="1"/>
        <v>EKPO</v>
      </c>
      <c r="H23" t="str">
        <f>VLOOKUP(G23,erlaubt!$A:$A,1,FALSE)</f>
        <v>EKPO</v>
      </c>
      <c r="I23" t="str">
        <f>VLOOKUP(G23,ergebnis!E:E,1,FALSE)</f>
        <v>EKPO</v>
      </c>
    </row>
    <row r="24" spans="1:9" hidden="1" x14ac:dyDescent="0.25">
      <c r="A24" s="1" t="s">
        <v>27</v>
      </c>
      <c r="B24" s="1" t="s">
        <v>61</v>
      </c>
      <c r="C24" s="2">
        <v>45909</v>
      </c>
      <c r="D24" s="3">
        <v>0.59194444444444005</v>
      </c>
      <c r="E24" s="4" t="s">
        <v>84</v>
      </c>
      <c r="F24" t="s">
        <v>117</v>
      </c>
      <c r="G24" t="str">
        <f t="shared" si="1"/>
        <v>EKKO</v>
      </c>
      <c r="H24" t="e">
        <f>VLOOKUP(G24,erlaubt!$A:$A,1,FALSE)</f>
        <v>#N/A</v>
      </c>
      <c r="I24" t="str">
        <f>VLOOKUP(G24,ergebnis!E:E,1,FALSE)</f>
        <v>EKKO</v>
      </c>
    </row>
    <row r="25" spans="1:9" hidden="1" x14ac:dyDescent="0.25">
      <c r="A25" s="1" t="s">
        <v>28</v>
      </c>
      <c r="B25" s="1" t="s">
        <v>61</v>
      </c>
      <c r="C25" s="2">
        <v>45909</v>
      </c>
      <c r="D25" s="3">
        <v>0.59192129629629997</v>
      </c>
      <c r="E25" s="4" t="s">
        <v>85</v>
      </c>
      <c r="F25" t="s">
        <v>117</v>
      </c>
      <c r="G25" t="str">
        <f t="shared" si="1"/>
        <v>EKPA</v>
      </c>
      <c r="H25" t="e">
        <f>VLOOKUP(G25,erlaubt!$A:$A,1,FALSE)</f>
        <v>#N/A</v>
      </c>
      <c r="I25" t="str">
        <f>VLOOKUP(G25,ergebnis!E:E,1,FALSE)</f>
        <v>EKPA</v>
      </c>
    </row>
    <row r="26" spans="1:9" hidden="1" x14ac:dyDescent="0.25">
      <c r="A26" s="1" t="s">
        <v>29</v>
      </c>
      <c r="B26" s="1" t="s">
        <v>61</v>
      </c>
      <c r="C26" s="2">
        <v>45909</v>
      </c>
      <c r="D26" s="3">
        <v>0.59101851851852005</v>
      </c>
      <c r="E26" s="4" t="s">
        <v>86</v>
      </c>
      <c r="F26" t="s">
        <v>117</v>
      </c>
      <c r="G26" t="str">
        <f t="shared" si="1"/>
        <v>EKKN</v>
      </c>
      <c r="H26" t="e">
        <f>VLOOKUP(G26,erlaubt!$A:$A,1,FALSE)</f>
        <v>#N/A</v>
      </c>
      <c r="I26" t="str">
        <f>VLOOKUP(G26,ergebnis!E:E,1,FALSE)</f>
        <v>EKKN</v>
      </c>
    </row>
    <row r="27" spans="1:9" hidden="1" x14ac:dyDescent="0.25">
      <c r="A27" s="1" t="s">
        <v>30</v>
      </c>
      <c r="B27" s="1" t="s">
        <v>61</v>
      </c>
      <c r="C27" s="2">
        <v>45909</v>
      </c>
      <c r="D27" s="3">
        <v>0.59099537037036998</v>
      </c>
      <c r="E27" s="4" t="s">
        <v>87</v>
      </c>
      <c r="F27" t="s">
        <v>117</v>
      </c>
      <c r="G27" t="str">
        <f t="shared" si="1"/>
        <v>EKET</v>
      </c>
      <c r="H27" t="e">
        <f>VLOOKUP(G27,erlaubt!$A:$A,1,FALSE)</f>
        <v>#N/A</v>
      </c>
      <c r="I27" t="str">
        <f>VLOOKUP(G27,ergebnis!E:E,1,FALSE)</f>
        <v>EKET</v>
      </c>
    </row>
    <row r="28" spans="1:9" hidden="1" x14ac:dyDescent="0.25">
      <c r="A28" s="1" t="s">
        <v>31</v>
      </c>
      <c r="B28" s="1" t="s">
        <v>61</v>
      </c>
      <c r="C28" s="2">
        <v>45909</v>
      </c>
      <c r="D28" s="3">
        <v>0.59024305555556</v>
      </c>
      <c r="E28" s="4" t="s">
        <v>88</v>
      </c>
      <c r="F28" t="s">
        <v>117</v>
      </c>
      <c r="G28" t="str">
        <f t="shared" si="1"/>
        <v>EKES</v>
      </c>
      <c r="H28" t="e">
        <f>VLOOKUP(G28,erlaubt!$A:$A,1,FALSE)</f>
        <v>#N/A</v>
      </c>
      <c r="I28" t="str">
        <f>VLOOKUP(G28,ergebnis!E:E,1,FALSE)</f>
        <v>EKES</v>
      </c>
    </row>
    <row r="29" spans="1:9" hidden="1" x14ac:dyDescent="0.25">
      <c r="A29" s="1" t="s">
        <v>32</v>
      </c>
      <c r="B29" s="1" t="s">
        <v>61</v>
      </c>
      <c r="C29" s="2">
        <v>45909</v>
      </c>
      <c r="D29" s="3">
        <v>0.59015046296296003</v>
      </c>
      <c r="E29" s="4" t="s">
        <v>89</v>
      </c>
      <c r="F29" t="s">
        <v>117</v>
      </c>
      <c r="G29" t="str">
        <f t="shared" si="1"/>
        <v>EKBE</v>
      </c>
      <c r="H29" t="e">
        <f>VLOOKUP(G29,erlaubt!$A:$A,1,FALSE)</f>
        <v>#N/A</v>
      </c>
      <c r="I29" t="str">
        <f>VLOOKUP(G29,ergebnis!E:E,1,FALSE)</f>
        <v>EKBE</v>
      </c>
    </row>
    <row r="30" spans="1:9" x14ac:dyDescent="0.25">
      <c r="A30" s="1" t="s">
        <v>33</v>
      </c>
      <c r="B30" s="1" t="s">
        <v>61</v>
      </c>
      <c r="C30" s="2">
        <v>45909</v>
      </c>
      <c r="D30" s="3">
        <v>0.58946759259258996</v>
      </c>
      <c r="E30" s="4" t="s">
        <v>90</v>
      </c>
      <c r="F30" t="s">
        <v>117</v>
      </c>
      <c r="G30" t="str">
        <f t="shared" si="1"/>
        <v>EINE</v>
      </c>
      <c r="H30" t="str">
        <f>VLOOKUP(G30,erlaubt!$A:$A,1,FALSE)</f>
        <v>EINE</v>
      </c>
      <c r="I30" t="str">
        <f>VLOOKUP(G30,ergebnis!E:E,1,FALSE)</f>
        <v>EINE</v>
      </c>
    </row>
    <row r="31" spans="1:9" hidden="1" x14ac:dyDescent="0.25">
      <c r="A31" s="1" t="s">
        <v>34</v>
      </c>
      <c r="B31" s="1" t="s">
        <v>61</v>
      </c>
      <c r="C31" s="2">
        <v>45909</v>
      </c>
      <c r="D31" s="3">
        <v>0.58932870370370005</v>
      </c>
      <c r="E31" s="4" t="s">
        <v>91</v>
      </c>
      <c r="F31" t="s">
        <v>117</v>
      </c>
      <c r="G31" t="str">
        <f t="shared" si="1"/>
        <v>EINA</v>
      </c>
      <c r="H31" t="e">
        <f>VLOOKUP(G31,erlaubt!$A:$A,1,FALSE)</f>
        <v>#N/A</v>
      </c>
      <c r="I31" t="str">
        <f>VLOOKUP(G31,ergebnis!E:E,1,FALSE)</f>
        <v>EINA</v>
      </c>
    </row>
    <row r="32" spans="1:9" hidden="1" x14ac:dyDescent="0.25">
      <c r="A32" s="1" t="s">
        <v>35</v>
      </c>
      <c r="B32" s="1" t="s">
        <v>61</v>
      </c>
      <c r="C32" s="2">
        <v>45909</v>
      </c>
      <c r="D32" s="3">
        <v>0.58753472222222003</v>
      </c>
      <c r="E32" s="4" t="s">
        <v>92</v>
      </c>
      <c r="F32" t="s">
        <v>117</v>
      </c>
      <c r="G32" t="str">
        <f t="shared" si="1"/>
        <v>EBKN</v>
      </c>
      <c r="H32" t="e">
        <f>VLOOKUP(G32,erlaubt!$A:$A,1,FALSE)</f>
        <v>#N/A</v>
      </c>
      <c r="I32" t="str">
        <f>VLOOKUP(G32,ergebnis!E:E,1,FALSE)</f>
        <v>EBKN</v>
      </c>
    </row>
    <row r="33" spans="1:9" hidden="1" x14ac:dyDescent="0.25">
      <c r="A33" s="1" t="s">
        <v>36</v>
      </c>
      <c r="B33" s="1" t="s">
        <v>61</v>
      </c>
      <c r="C33" s="2">
        <v>45909</v>
      </c>
      <c r="D33" s="3">
        <v>0.58694444444444005</v>
      </c>
      <c r="E33" s="4" t="s">
        <v>93</v>
      </c>
      <c r="F33" t="s">
        <v>117</v>
      </c>
      <c r="G33" t="str">
        <f t="shared" si="1"/>
        <v>EBEW</v>
      </c>
      <c r="H33" t="e">
        <f>VLOOKUP(G33,erlaubt!$A:$A,1,FALSE)</f>
        <v>#N/A</v>
      </c>
      <c r="I33" t="str">
        <f>VLOOKUP(G33,ergebnis!E:E,1,FALSE)</f>
        <v>EBEW</v>
      </c>
    </row>
    <row r="34" spans="1:9" hidden="1" x14ac:dyDescent="0.25">
      <c r="A34" s="1" t="s">
        <v>37</v>
      </c>
      <c r="B34" s="1" t="s">
        <v>61</v>
      </c>
      <c r="C34" s="2">
        <v>45909</v>
      </c>
      <c r="D34" s="3">
        <v>0.58636574074073999</v>
      </c>
      <c r="E34" s="4" t="s">
        <v>94</v>
      </c>
      <c r="F34" t="s">
        <v>117</v>
      </c>
      <c r="G34" t="str">
        <f t="shared" si="1"/>
        <v>EBAN</v>
      </c>
      <c r="H34" t="e">
        <f>VLOOKUP(G34,erlaubt!$A:$A,1,FALSE)</f>
        <v>#N/A</v>
      </c>
      <c r="I34" t="str">
        <f>VLOOKUP(G34,ergebnis!E:E,1,FALSE)</f>
        <v>EBAN</v>
      </c>
    </row>
    <row r="35" spans="1:9" hidden="1" x14ac:dyDescent="0.25">
      <c r="A35" s="1" t="s">
        <v>38</v>
      </c>
      <c r="B35" s="1" t="s">
        <v>61</v>
      </c>
      <c r="C35" s="2">
        <v>45909</v>
      </c>
      <c r="D35" s="3">
        <v>0.57527777777778</v>
      </c>
      <c r="E35" s="4" t="s">
        <v>95</v>
      </c>
      <c r="F35" t="s">
        <v>117</v>
      </c>
      <c r="G35" t="str">
        <f t="shared" si="1"/>
        <v>B049</v>
      </c>
      <c r="H35" t="e">
        <f>VLOOKUP(G35,erlaubt!$A:$A,1,FALSE)</f>
        <v>#N/A</v>
      </c>
      <c r="I35" t="str">
        <f>VLOOKUP(G35,ergebnis!E:E,1,FALSE)</f>
        <v>B049</v>
      </c>
    </row>
    <row r="36" spans="1:9" hidden="1" x14ac:dyDescent="0.25">
      <c r="A36" s="1" t="s">
        <v>39</v>
      </c>
      <c r="B36" s="1" t="s">
        <v>61</v>
      </c>
      <c r="C36" s="2">
        <v>45909</v>
      </c>
      <c r="D36" s="3">
        <v>0.57495370370370003</v>
      </c>
      <c r="E36" s="4" t="s">
        <v>96</v>
      </c>
      <c r="F36" t="s">
        <v>117</v>
      </c>
      <c r="G36" t="str">
        <f t="shared" si="1"/>
        <v>B048</v>
      </c>
      <c r="H36" t="e">
        <f>VLOOKUP(G36,erlaubt!$A:$A,1,FALSE)</f>
        <v>#N/A</v>
      </c>
      <c r="I36" t="str">
        <f>VLOOKUP(G36,ergebnis!E:E,1,FALSE)</f>
        <v>B048</v>
      </c>
    </row>
    <row r="37" spans="1:9" hidden="1" x14ac:dyDescent="0.25">
      <c r="A37" s="1" t="s">
        <v>40</v>
      </c>
      <c r="B37" s="1" t="s">
        <v>61</v>
      </c>
      <c r="C37" s="2">
        <v>45909</v>
      </c>
      <c r="D37" s="3">
        <v>0.57420138888889005</v>
      </c>
      <c r="E37" s="4" t="s">
        <v>97</v>
      </c>
      <c r="F37" t="s">
        <v>117</v>
      </c>
      <c r="G37" t="str">
        <f t="shared" si="1"/>
        <v>B027</v>
      </c>
      <c r="H37" t="e">
        <f>VLOOKUP(G37,erlaubt!$A:$A,1,FALSE)</f>
        <v>#N/A</v>
      </c>
      <c r="I37" t="str">
        <f>VLOOKUP(G37,ergebnis!E:E,1,FALSE)</f>
        <v>B027</v>
      </c>
    </row>
    <row r="38" spans="1:9" hidden="1" x14ac:dyDescent="0.25">
      <c r="A38" s="1" t="s">
        <v>41</v>
      </c>
      <c r="B38" s="1" t="s">
        <v>61</v>
      </c>
      <c r="C38" s="2">
        <v>45909</v>
      </c>
      <c r="D38" s="3">
        <v>0.57349537037037002</v>
      </c>
      <c r="E38" s="4" t="s">
        <v>98</v>
      </c>
      <c r="F38" t="s">
        <v>117</v>
      </c>
      <c r="G38" t="str">
        <f t="shared" si="1"/>
        <v>B025</v>
      </c>
      <c r="H38" t="e">
        <f>VLOOKUP(G38,erlaubt!$A:$A,1,FALSE)</f>
        <v>#N/A</v>
      </c>
      <c r="I38" t="str">
        <f>VLOOKUP(G38,ergebnis!E:E,1,FALSE)</f>
        <v>B025</v>
      </c>
    </row>
    <row r="39" spans="1:9" hidden="1" x14ac:dyDescent="0.25">
      <c r="A39" s="1" t="s">
        <v>42</v>
      </c>
      <c r="B39" s="1" t="s">
        <v>61</v>
      </c>
      <c r="C39" s="2">
        <v>45909</v>
      </c>
      <c r="D39" s="3">
        <v>0.56542824074074005</v>
      </c>
      <c r="E39" s="4" t="s">
        <v>99</v>
      </c>
      <c r="F39" t="s">
        <v>117</v>
      </c>
      <c r="G39" t="str">
        <f t="shared" ref="G39:G57" si="2">_xlfn.REGEXREPLACE(REPLACE(A39,1,8,""),"_5K?_?D?E?S?.+","",,1)</f>
        <v>A919</v>
      </c>
      <c r="H39" t="e">
        <f>VLOOKUP(G39,erlaubt!$A:$A,1,FALSE)</f>
        <v>#N/A</v>
      </c>
      <c r="I39" t="str">
        <f>VLOOKUP(G39,ergebnis!E:E,1,FALSE)</f>
        <v>A919</v>
      </c>
    </row>
    <row r="40" spans="1:9" hidden="1" x14ac:dyDescent="0.25">
      <c r="A40" s="1" t="s">
        <v>43</v>
      </c>
      <c r="B40" s="1" t="s">
        <v>61</v>
      </c>
      <c r="C40" s="2">
        <v>45909</v>
      </c>
      <c r="D40" s="3">
        <v>0.56488425925926</v>
      </c>
      <c r="E40" s="4" t="s">
        <v>100</v>
      </c>
      <c r="F40" t="s">
        <v>117</v>
      </c>
      <c r="G40" t="str">
        <f t="shared" si="2"/>
        <v>A915</v>
      </c>
      <c r="H40" t="e">
        <f>VLOOKUP(G40,erlaubt!$A:$A,1,FALSE)</f>
        <v>#N/A</v>
      </c>
      <c r="I40" t="str">
        <f>VLOOKUP(G40,ergebnis!E:E,1,FALSE)</f>
        <v>A915</v>
      </c>
    </row>
    <row r="41" spans="1:9" hidden="1" x14ac:dyDescent="0.25">
      <c r="A41" s="1" t="s">
        <v>44</v>
      </c>
      <c r="B41" s="1" t="s">
        <v>61</v>
      </c>
      <c r="C41" s="2">
        <v>45909</v>
      </c>
      <c r="D41" s="3">
        <v>0.56163194444443998</v>
      </c>
      <c r="E41" s="4" t="s">
        <v>101</v>
      </c>
      <c r="F41" t="s">
        <v>117</v>
      </c>
      <c r="G41" t="str">
        <f t="shared" si="2"/>
        <v>A725</v>
      </c>
      <c r="H41" t="e">
        <f>VLOOKUP(G41,erlaubt!$A:$A,1,FALSE)</f>
        <v>#N/A</v>
      </c>
      <c r="I41" t="str">
        <f>VLOOKUP(G41,ergebnis!E:E,1,FALSE)</f>
        <v>A725</v>
      </c>
    </row>
    <row r="42" spans="1:9" hidden="1" x14ac:dyDescent="0.25">
      <c r="A42" s="1" t="s">
        <v>45</v>
      </c>
      <c r="B42" s="1" t="s">
        <v>61</v>
      </c>
      <c r="C42" s="2">
        <v>45909</v>
      </c>
      <c r="D42" s="3">
        <v>0.55768518518518995</v>
      </c>
      <c r="E42" s="4" t="s">
        <v>102</v>
      </c>
      <c r="F42" t="s">
        <v>117</v>
      </c>
      <c r="G42" t="str">
        <f t="shared" si="2"/>
        <v>A619</v>
      </c>
      <c r="H42" t="e">
        <f>VLOOKUP(G42,erlaubt!$A:$A,1,FALSE)</f>
        <v>#N/A</v>
      </c>
      <c r="I42" t="str">
        <f>VLOOKUP(G42,ergebnis!E:E,1,FALSE)</f>
        <v>A619</v>
      </c>
    </row>
    <row r="43" spans="1:9" hidden="1" x14ac:dyDescent="0.25">
      <c r="A43" s="1" t="s">
        <v>46</v>
      </c>
      <c r="B43" s="1" t="s">
        <v>61</v>
      </c>
      <c r="C43" s="2">
        <v>45909</v>
      </c>
      <c r="D43" s="3">
        <v>0.55305555555555996</v>
      </c>
      <c r="E43" s="4" t="s">
        <v>103</v>
      </c>
      <c r="F43" t="s">
        <v>117</v>
      </c>
      <c r="G43" t="str">
        <f t="shared" si="2"/>
        <v>A044</v>
      </c>
      <c r="H43" t="e">
        <f>VLOOKUP(G43,erlaubt!$A:$A,1,FALSE)</f>
        <v>#N/A</v>
      </c>
      <c r="I43" t="str">
        <f>VLOOKUP(G43,ergebnis!E:E,1,FALSE)</f>
        <v>A044</v>
      </c>
    </row>
    <row r="44" spans="1:9" hidden="1" x14ac:dyDescent="0.25">
      <c r="A44" s="1" t="s">
        <v>47</v>
      </c>
      <c r="B44" s="1" t="s">
        <v>61</v>
      </c>
      <c r="C44" s="2">
        <v>45909</v>
      </c>
      <c r="D44" s="3">
        <v>0.55297453703704003</v>
      </c>
      <c r="E44" s="4" t="s">
        <v>104</v>
      </c>
      <c r="F44" t="s">
        <v>117</v>
      </c>
      <c r="G44" t="str">
        <f t="shared" si="2"/>
        <v>A018</v>
      </c>
      <c r="H44" t="e">
        <f>VLOOKUP(G44,erlaubt!$A:$A,1,FALSE)</f>
        <v>#N/A</v>
      </c>
      <c r="I44" t="str">
        <f>VLOOKUP(G44,ergebnis!E:E,1,FALSE)</f>
        <v>A018</v>
      </c>
    </row>
    <row r="45" spans="1:9" hidden="1" x14ac:dyDescent="0.25">
      <c r="A45" s="1" t="s">
        <v>48</v>
      </c>
      <c r="B45" s="1" t="s">
        <v>61</v>
      </c>
      <c r="C45" s="2">
        <v>45909</v>
      </c>
      <c r="D45" s="3">
        <v>0.55222222222221995</v>
      </c>
      <c r="E45" s="4" t="s">
        <v>105</v>
      </c>
      <c r="F45" t="s">
        <v>117</v>
      </c>
      <c r="G45" t="str">
        <f t="shared" si="2"/>
        <v>A017</v>
      </c>
      <c r="H45" t="e">
        <f>VLOOKUP(G45,erlaubt!$A:$A,1,FALSE)</f>
        <v>#N/A</v>
      </c>
      <c r="I45" t="str">
        <f>VLOOKUP(G45,ergebnis!E:E,1,FALSE)</f>
        <v>A017</v>
      </c>
    </row>
    <row r="46" spans="1:9" hidden="1" x14ac:dyDescent="0.25">
      <c r="A46" s="1" t="s">
        <v>49</v>
      </c>
      <c r="B46" s="1" t="s">
        <v>61</v>
      </c>
      <c r="C46" s="2">
        <v>45909</v>
      </c>
      <c r="D46" s="3">
        <v>0.55208333333333004</v>
      </c>
      <c r="E46" s="4" t="s">
        <v>106</v>
      </c>
      <c r="F46" t="s">
        <v>117</v>
      </c>
      <c r="G46" t="str">
        <f t="shared" si="2"/>
        <v>A016</v>
      </c>
      <c r="H46" t="e">
        <f>VLOOKUP(G46,erlaubt!$A:$A,1,FALSE)</f>
        <v>#N/A</v>
      </c>
      <c r="I46" t="str">
        <f>VLOOKUP(G46,ergebnis!E:E,1,FALSE)</f>
        <v>A016</v>
      </c>
    </row>
    <row r="47" spans="1:9" hidden="1" x14ac:dyDescent="0.25">
      <c r="A47" s="1" t="s">
        <v>50</v>
      </c>
      <c r="B47" s="1" t="s">
        <v>61</v>
      </c>
      <c r="C47" s="2">
        <v>45909</v>
      </c>
      <c r="D47" s="3">
        <v>0.49023148148147999</v>
      </c>
      <c r="E47" s="4" t="s">
        <v>107</v>
      </c>
      <c r="F47" t="s">
        <v>117</v>
      </c>
      <c r="G47" t="str">
        <f t="shared" si="2"/>
        <v>/WUE/MP_ZSVW_ACC</v>
      </c>
      <c r="H47" t="e">
        <f>VLOOKUP(G47,erlaubt!$A:$A,1,FALSE)</f>
        <v>#N/A</v>
      </c>
      <c r="I47" t="str">
        <f>VLOOKUP(G47,ergebnis!E:E,1,FALSE)</f>
        <v>/WUE/MP_ZSVW_ACC</v>
      </c>
    </row>
    <row r="48" spans="1:9" hidden="1" x14ac:dyDescent="0.25">
      <c r="A48" s="1" t="s">
        <v>51</v>
      </c>
      <c r="B48" s="1" t="s">
        <v>61</v>
      </c>
      <c r="C48" s="2">
        <v>45909</v>
      </c>
      <c r="D48" s="3">
        <v>0.48858796296295998</v>
      </c>
      <c r="E48" s="4" t="s">
        <v>107</v>
      </c>
      <c r="F48" t="s">
        <v>117</v>
      </c>
      <c r="G48" t="str">
        <f t="shared" si="2"/>
        <v>/WUE/MMV_WKBASKE</v>
      </c>
      <c r="H48" t="e">
        <f>VLOOKUP(G48,erlaubt!$A:$A,1,FALSE)</f>
        <v>#N/A</v>
      </c>
      <c r="I48" t="str">
        <f>VLOOKUP(G48,ergebnis!E:E,1,FALSE)</f>
        <v>/WUE/MMV_WKBASKE</v>
      </c>
    </row>
    <row r="49" spans="1:9" hidden="1" x14ac:dyDescent="0.25">
      <c r="A49" s="1" t="s">
        <v>52</v>
      </c>
      <c r="B49" s="1" t="s">
        <v>61</v>
      </c>
      <c r="C49" s="2">
        <v>45909</v>
      </c>
      <c r="D49" s="3">
        <v>0.48821759259259001</v>
      </c>
      <c r="E49" s="4" t="s">
        <v>108</v>
      </c>
      <c r="F49" t="s">
        <v>117</v>
      </c>
      <c r="G49" t="str">
        <f t="shared" si="2"/>
        <v>/WUE/MMV_TMSTAMP</v>
      </c>
      <c r="H49" t="e">
        <f>VLOOKUP(G49,erlaubt!$A:$A,1,FALSE)</f>
        <v>#N/A</v>
      </c>
      <c r="I49" t="str">
        <f>VLOOKUP(G49,ergebnis!E:E,1,FALSE)</f>
        <v>/WUE/MMV_TMSTAMP</v>
      </c>
    </row>
    <row r="50" spans="1:9" hidden="1" x14ac:dyDescent="0.25">
      <c r="A50" s="1" t="s">
        <v>53</v>
      </c>
      <c r="B50" s="1" t="s">
        <v>61</v>
      </c>
      <c r="C50" s="2">
        <v>45909</v>
      </c>
      <c r="D50" s="3">
        <v>0.48792824074073998</v>
      </c>
      <c r="E50" s="4" t="s">
        <v>109</v>
      </c>
      <c r="F50" t="s">
        <v>117</v>
      </c>
      <c r="G50" t="str">
        <f t="shared" si="2"/>
        <v>/WUE/MMV_NRVPROT</v>
      </c>
      <c r="H50" t="e">
        <f>VLOOKUP(G50,erlaubt!$A:$A,1,FALSE)</f>
        <v>#N/A</v>
      </c>
      <c r="I50" t="str">
        <f>VLOOKUP(G50,ergebnis!E:E,1,FALSE)</f>
        <v>/WUE/MMV_NRVPROT</v>
      </c>
    </row>
    <row r="51" spans="1:9" hidden="1" x14ac:dyDescent="0.25">
      <c r="A51" s="1" t="s">
        <v>54</v>
      </c>
      <c r="B51" s="1" t="s">
        <v>61</v>
      </c>
      <c r="C51" s="2">
        <v>45909</v>
      </c>
      <c r="D51" s="3">
        <v>0.48376157407407</v>
      </c>
      <c r="E51" s="4" t="s">
        <v>110</v>
      </c>
      <c r="F51" t="s">
        <v>117</v>
      </c>
      <c r="G51" t="str">
        <f t="shared" si="2"/>
        <v>/WUE/MMDIAB_PMAT</v>
      </c>
      <c r="H51" t="e">
        <f>VLOOKUP(G51,erlaubt!$A:$A,1,FALSE)</f>
        <v>#N/A</v>
      </c>
      <c r="I51" t="str">
        <f>VLOOKUP(G51,ergebnis!E:E,1,FALSE)</f>
        <v>/WUE/MMDIAB_PMAT</v>
      </c>
    </row>
    <row r="52" spans="1:9" hidden="1" x14ac:dyDescent="0.25">
      <c r="A52" s="1" t="s">
        <v>55</v>
      </c>
      <c r="B52" s="1" t="s">
        <v>61</v>
      </c>
      <c r="C52" s="2">
        <v>45909</v>
      </c>
      <c r="D52" s="3">
        <v>0.48311342592592998</v>
      </c>
      <c r="E52" s="4" t="s">
        <v>111</v>
      </c>
      <c r="F52" t="s">
        <v>117</v>
      </c>
      <c r="G52" t="str">
        <f t="shared" si="2"/>
        <v>/WUE/MMC_PL_PO_P</v>
      </c>
      <c r="H52" t="e">
        <f>VLOOKUP(G52,erlaubt!$A:$A,1,FALSE)</f>
        <v>#N/A</v>
      </c>
      <c r="I52" t="str">
        <f>VLOOKUP(G52,ergebnis!E:E,1,FALSE)</f>
        <v>/WUE/MMC_PL_PO_P</v>
      </c>
    </row>
    <row r="53" spans="1:9" hidden="1" x14ac:dyDescent="0.25">
      <c r="A53" s="1" t="s">
        <v>56</v>
      </c>
      <c r="B53" s="1" t="s">
        <v>61</v>
      </c>
      <c r="C53" s="2">
        <v>45909</v>
      </c>
      <c r="D53" s="3">
        <v>0.46875</v>
      </c>
      <c r="E53" s="4" t="s">
        <v>112</v>
      </c>
      <c r="F53" t="s">
        <v>117</v>
      </c>
      <c r="G53" t="str">
        <f t="shared" si="2"/>
        <v>/WUE/BATNUM_IND</v>
      </c>
      <c r="H53" t="e">
        <f>VLOOKUP(G53,erlaubt!$A:$A,1,FALSE)</f>
        <v>#N/A</v>
      </c>
      <c r="I53" t="str">
        <f>VLOOKUP(G53,ergebnis!E:E,1,FALSE)</f>
        <v>/WUE/BATNUM_IND</v>
      </c>
    </row>
    <row r="54" spans="1:9" hidden="1" x14ac:dyDescent="0.25">
      <c r="A54" s="1" t="s">
        <v>57</v>
      </c>
      <c r="B54" s="1" t="s">
        <v>61</v>
      </c>
      <c r="C54" s="2">
        <v>45909</v>
      </c>
      <c r="D54" s="3">
        <v>0.46582175925926</v>
      </c>
      <c r="E54" s="4" t="s">
        <v>113</v>
      </c>
      <c r="F54" t="s">
        <v>117</v>
      </c>
      <c r="G54" t="str">
        <f t="shared" si="2"/>
        <v>/WRP/MP_INBIDD</v>
      </c>
      <c r="H54" t="e">
        <f>VLOOKUP(G54,erlaubt!$A:$A,1,FALSE)</f>
        <v>#N/A</v>
      </c>
      <c r="I54" t="str">
        <f>VLOOKUP(G54,ergebnis!E:E,1,FALSE)</f>
        <v>/WRP/MP_INBIDD</v>
      </c>
    </row>
    <row r="55" spans="1:9" hidden="1" x14ac:dyDescent="0.25">
      <c r="A55" s="1" t="s">
        <v>58</v>
      </c>
      <c r="B55" s="1" t="s">
        <v>61</v>
      </c>
      <c r="C55" s="2">
        <v>45909</v>
      </c>
      <c r="D55" s="3">
        <v>0.45106481481480998</v>
      </c>
      <c r="E55" s="4" t="s">
        <v>114</v>
      </c>
      <c r="F55" t="s">
        <v>117</v>
      </c>
      <c r="G55" t="str">
        <f t="shared" si="2"/>
        <v>/SAPLOM/X__RELEV</v>
      </c>
      <c r="H55" t="e">
        <f>VLOOKUP(G55,erlaubt!$A:$A,1,FALSE)</f>
        <v>#N/A</v>
      </c>
      <c r="I55" t="str">
        <f>VLOOKUP(G55,ergebnis!E:E,1,FALSE)</f>
        <v>/SAPLOM/X__RELEV</v>
      </c>
    </row>
    <row r="56" spans="1:9" hidden="1" x14ac:dyDescent="0.25">
      <c r="A56" s="1" t="s">
        <v>59</v>
      </c>
      <c r="B56" s="1" t="s">
        <v>61</v>
      </c>
      <c r="C56" s="2">
        <v>45909</v>
      </c>
      <c r="D56" s="3">
        <v>0.44842592592593</v>
      </c>
      <c r="E56" s="4" t="s">
        <v>115</v>
      </c>
      <c r="F56" t="s">
        <v>117</v>
      </c>
      <c r="G56" t="str">
        <f t="shared" si="2"/>
        <v>/SAPLOM/X__BELEG</v>
      </c>
      <c r="H56" t="e">
        <f>VLOOKUP(G56,erlaubt!$A:$A,1,FALSE)</f>
        <v>#N/A</v>
      </c>
      <c r="I56" t="str">
        <f>VLOOKUP(G56,ergebnis!E:E,1,FALSE)</f>
        <v>/SAPLOM/X__BELEG</v>
      </c>
    </row>
    <row r="57" spans="1:9" hidden="1" x14ac:dyDescent="0.25">
      <c r="A57" s="1" t="s">
        <v>60</v>
      </c>
      <c r="B57" s="1" t="s">
        <v>61</v>
      </c>
      <c r="C57" s="2">
        <v>45909</v>
      </c>
      <c r="D57" s="3">
        <v>0.41187499999999999</v>
      </c>
      <c r="E57" s="4" t="s">
        <v>113</v>
      </c>
      <c r="F57" t="s">
        <v>117</v>
      </c>
      <c r="G57" t="str">
        <f t="shared" si="2"/>
        <v>/WRP/MPDEVSTSUM</v>
      </c>
      <c r="H57" t="e">
        <f>VLOOKUP(G57,erlaubt!$A:$A,1,FALSE)</f>
        <v>#N/A</v>
      </c>
      <c r="I57" t="str">
        <f>VLOOKUP(G57,ergebnis!E:E,1,FALSE)</f>
        <v>/WRP/MPDEVSTSUM</v>
      </c>
    </row>
  </sheetData>
  <autoFilter ref="A1:H57" xr:uid="{00000000-0001-0000-0000-000000000000}">
    <filterColumn colId="7">
      <filters>
        <filter val="EINE"/>
        <filter val="EKPO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22EE5-09CF-42BA-AB00-A7C3212AA6FD}">
  <dimension ref="A1:A54"/>
  <sheetViews>
    <sheetView workbookViewId="0"/>
  </sheetViews>
  <sheetFormatPr baseColWidth="10" defaultRowHeight="15" x14ac:dyDescent="0.25"/>
  <sheetData>
    <row r="1" spans="1:1" x14ac:dyDescent="0.25">
      <c r="A1" t="s">
        <v>986</v>
      </c>
    </row>
    <row r="2" spans="1:1" x14ac:dyDescent="0.25">
      <c r="A2" t="s">
        <v>987</v>
      </c>
    </row>
    <row r="3" spans="1:1" x14ac:dyDescent="0.25">
      <c r="A3" t="s">
        <v>988</v>
      </c>
    </row>
    <row r="4" spans="1:1" x14ac:dyDescent="0.25">
      <c r="A4" t="s">
        <v>989</v>
      </c>
    </row>
    <row r="5" spans="1:1" x14ac:dyDescent="0.25">
      <c r="A5" t="s">
        <v>990</v>
      </c>
    </row>
    <row r="6" spans="1:1" x14ac:dyDescent="0.25">
      <c r="A6" t="s">
        <v>991</v>
      </c>
    </row>
    <row r="7" spans="1:1" x14ac:dyDescent="0.25">
      <c r="A7" t="s">
        <v>992</v>
      </c>
    </row>
    <row r="8" spans="1:1" x14ac:dyDescent="0.25">
      <c r="A8" t="s">
        <v>993</v>
      </c>
    </row>
    <row r="9" spans="1:1" x14ac:dyDescent="0.25">
      <c r="A9" t="s">
        <v>994</v>
      </c>
    </row>
    <row r="10" spans="1:1" x14ac:dyDescent="0.25">
      <c r="A10" t="s">
        <v>995</v>
      </c>
    </row>
    <row r="11" spans="1:1" x14ac:dyDescent="0.25">
      <c r="A11" t="s">
        <v>996</v>
      </c>
    </row>
    <row r="12" spans="1:1" x14ac:dyDescent="0.25">
      <c r="A12" t="s">
        <v>997</v>
      </c>
    </row>
    <row r="13" spans="1:1" x14ac:dyDescent="0.25">
      <c r="A13" t="s">
        <v>998</v>
      </c>
    </row>
    <row r="14" spans="1:1" x14ac:dyDescent="0.25">
      <c r="A14" t="s">
        <v>999</v>
      </c>
    </row>
    <row r="15" spans="1:1" x14ac:dyDescent="0.25">
      <c r="A15" t="s">
        <v>1000</v>
      </c>
    </row>
    <row r="16" spans="1:1" x14ac:dyDescent="0.25">
      <c r="A16" t="s">
        <v>1001</v>
      </c>
    </row>
    <row r="17" spans="1:1" x14ac:dyDescent="0.25">
      <c r="A17" t="s">
        <v>1002</v>
      </c>
    </row>
    <row r="18" spans="1:1" x14ac:dyDescent="0.25">
      <c r="A18" t="s">
        <v>1003</v>
      </c>
    </row>
    <row r="19" spans="1:1" x14ac:dyDescent="0.25">
      <c r="A19" t="s">
        <v>1004</v>
      </c>
    </row>
    <row r="20" spans="1:1" x14ac:dyDescent="0.25">
      <c r="A20" t="s">
        <v>1005</v>
      </c>
    </row>
    <row r="21" spans="1:1" x14ac:dyDescent="0.25">
      <c r="A21" t="s">
        <v>1006</v>
      </c>
    </row>
    <row r="22" spans="1:1" x14ac:dyDescent="0.25">
      <c r="A22" t="s">
        <v>1007</v>
      </c>
    </row>
    <row r="23" spans="1:1" x14ac:dyDescent="0.25">
      <c r="A23" t="s">
        <v>1008</v>
      </c>
    </row>
    <row r="24" spans="1:1" x14ac:dyDescent="0.25">
      <c r="A24" t="s">
        <v>1009</v>
      </c>
    </row>
    <row r="25" spans="1:1" x14ac:dyDescent="0.25">
      <c r="A25" t="s">
        <v>1010</v>
      </c>
    </row>
    <row r="26" spans="1:1" x14ac:dyDescent="0.25">
      <c r="A26" t="s">
        <v>1011</v>
      </c>
    </row>
    <row r="27" spans="1:1" x14ac:dyDescent="0.25">
      <c r="A27" t="s">
        <v>1012</v>
      </c>
    </row>
    <row r="28" spans="1:1" x14ac:dyDescent="0.25">
      <c r="A28" t="s">
        <v>1013</v>
      </c>
    </row>
    <row r="29" spans="1:1" x14ac:dyDescent="0.25">
      <c r="A29" t="s">
        <v>1014</v>
      </c>
    </row>
    <row r="30" spans="1:1" x14ac:dyDescent="0.25">
      <c r="A30" t="s">
        <v>1015</v>
      </c>
    </row>
    <row r="31" spans="1:1" x14ac:dyDescent="0.25">
      <c r="A31" t="s">
        <v>1016</v>
      </c>
    </row>
    <row r="32" spans="1:1" x14ac:dyDescent="0.25">
      <c r="A32" t="s">
        <v>1017</v>
      </c>
    </row>
    <row r="33" spans="1:1" x14ac:dyDescent="0.25">
      <c r="A33" t="s">
        <v>1018</v>
      </c>
    </row>
    <row r="34" spans="1:1" x14ac:dyDescent="0.25">
      <c r="A34" t="s">
        <v>1019</v>
      </c>
    </row>
    <row r="35" spans="1:1" x14ac:dyDescent="0.25">
      <c r="A35" t="s">
        <v>1020</v>
      </c>
    </row>
    <row r="36" spans="1:1" x14ac:dyDescent="0.25">
      <c r="A36" t="s">
        <v>1021</v>
      </c>
    </row>
    <row r="37" spans="1:1" x14ac:dyDescent="0.25">
      <c r="A37" t="s">
        <v>1022</v>
      </c>
    </row>
    <row r="38" spans="1:1" x14ac:dyDescent="0.25">
      <c r="A38" t="s">
        <v>1023</v>
      </c>
    </row>
    <row r="39" spans="1:1" x14ac:dyDescent="0.25">
      <c r="A39" t="s">
        <v>1024</v>
      </c>
    </row>
    <row r="40" spans="1:1" x14ac:dyDescent="0.25">
      <c r="A40" t="s">
        <v>1025</v>
      </c>
    </row>
    <row r="41" spans="1:1" x14ac:dyDescent="0.25">
      <c r="A41" t="s">
        <v>1026</v>
      </c>
    </row>
    <row r="42" spans="1:1" x14ac:dyDescent="0.25">
      <c r="A42" t="s">
        <v>1027</v>
      </c>
    </row>
    <row r="43" spans="1:1" x14ac:dyDescent="0.25">
      <c r="A43" t="s">
        <v>1028</v>
      </c>
    </row>
    <row r="44" spans="1:1" x14ac:dyDescent="0.25">
      <c r="A44" t="s">
        <v>1029</v>
      </c>
    </row>
    <row r="45" spans="1:1" x14ac:dyDescent="0.25">
      <c r="A45" t="s">
        <v>1030</v>
      </c>
    </row>
    <row r="46" spans="1:1" x14ac:dyDescent="0.25">
      <c r="A46" t="s">
        <v>1031</v>
      </c>
    </row>
    <row r="47" spans="1:1" x14ac:dyDescent="0.25">
      <c r="A47" t="s">
        <v>1032</v>
      </c>
    </row>
    <row r="48" spans="1:1" x14ac:dyDescent="0.25">
      <c r="A48" t="s">
        <v>1033</v>
      </c>
    </row>
    <row r="49" spans="1:1" x14ac:dyDescent="0.25">
      <c r="A49" t="s">
        <v>1034</v>
      </c>
    </row>
    <row r="50" spans="1:1" x14ac:dyDescent="0.25">
      <c r="A50" t="s">
        <v>1035</v>
      </c>
    </row>
    <row r="51" spans="1:1" x14ac:dyDescent="0.25">
      <c r="A51" t="s">
        <v>1036</v>
      </c>
    </row>
    <row r="52" spans="1:1" x14ac:dyDescent="0.25">
      <c r="A52" t="s">
        <v>1037</v>
      </c>
    </row>
    <row r="53" spans="1:1" x14ac:dyDescent="0.25">
      <c r="A53" t="s">
        <v>1038</v>
      </c>
    </row>
    <row r="54" spans="1:1" x14ac:dyDescent="0.25">
      <c r="A54" t="s">
        <v>1039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50B3D-2402-4BAF-BCB0-9FC13DF89580}">
  <dimension ref="A1:G249"/>
  <sheetViews>
    <sheetView workbookViewId="0">
      <selection activeCell="A113" sqref="A113"/>
    </sheetView>
  </sheetViews>
  <sheetFormatPr baseColWidth="10" defaultRowHeight="15" x14ac:dyDescent="0.25"/>
  <cols>
    <col min="7" max="7" width="21.42578125" bestFit="1" customWidth="1"/>
  </cols>
  <sheetData>
    <row r="1" spans="1:1" x14ac:dyDescent="0.25">
      <c r="A1" t="e" cm="1">
        <f t="array" ref="A1">_xlfn.XLOOKUP(List1!#REF!,erlaubt!A:A,List1!A:G,"",0,1)</f>
        <v>#REF!</v>
      </c>
    </row>
    <row r="2" spans="1:1" x14ac:dyDescent="0.25">
      <c r="A2" t="e" cm="1">
        <f t="array" ref="A2">_xlfn.XLOOKUP(List1!#REF!,erlaubt!A:A,List1!A:G,"",0,1)</f>
        <v>#REF!</v>
      </c>
    </row>
    <row r="3" spans="1:1" x14ac:dyDescent="0.25">
      <c r="A3" t="e" cm="1">
        <f t="array" ref="A3">_xlfn.XLOOKUP(List1!#REF!,erlaubt!A:A,List1!A:G,"",0,1)</f>
        <v>#REF!</v>
      </c>
    </row>
    <row r="4" spans="1:1" x14ac:dyDescent="0.25">
      <c r="A4" t="e" cm="1">
        <f t="array" ref="A4">_xlfn.XLOOKUP(List1!#REF!,erlaubt!A:A,List1!A:G,"",0,1)</f>
        <v>#REF!</v>
      </c>
    </row>
    <row r="5" spans="1:1" x14ac:dyDescent="0.25">
      <c r="A5" t="e" cm="1">
        <f t="array" ref="A5">_xlfn.XLOOKUP(List1!#REF!,erlaubt!A:A,List1!A:G,"",0,1)</f>
        <v>#REF!</v>
      </c>
    </row>
    <row r="6" spans="1:1" x14ac:dyDescent="0.25">
      <c r="A6" t="e" cm="1">
        <f t="array" ref="A6">_xlfn.XLOOKUP(List1!#REF!,erlaubt!A:A,List1!A:G,"",0,1)</f>
        <v>#REF!</v>
      </c>
    </row>
    <row r="7" spans="1:1" x14ac:dyDescent="0.25">
      <c r="A7" t="e" cm="1">
        <f t="array" ref="A7">_xlfn.XLOOKUP(List1!#REF!,erlaubt!A:A,List1!A:G,"",0,1)</f>
        <v>#REF!</v>
      </c>
    </row>
    <row r="8" spans="1:1" x14ac:dyDescent="0.25">
      <c r="A8" t="e" cm="1">
        <f t="array" ref="A8">_xlfn.XLOOKUP(List1!#REF!,erlaubt!A:A,List1!A:G,"",0,1)</f>
        <v>#REF!</v>
      </c>
    </row>
    <row r="9" spans="1:1" x14ac:dyDescent="0.25">
      <c r="A9" t="e" cm="1">
        <f t="array" ref="A9">_xlfn.XLOOKUP(List1!#REF!,erlaubt!A:A,List1!A:G,"",0,1)</f>
        <v>#REF!</v>
      </c>
    </row>
    <row r="10" spans="1:1" x14ac:dyDescent="0.25">
      <c r="A10" t="e" cm="1">
        <f t="array" ref="A10">_xlfn.XLOOKUP(List1!#REF!,erlaubt!A:A,List1!A:G,"",0,1)</f>
        <v>#REF!</v>
      </c>
    </row>
    <row r="11" spans="1:1" x14ac:dyDescent="0.25">
      <c r="A11" t="e" cm="1">
        <f t="array" ref="A11">_xlfn.XLOOKUP(List1!#REF!,erlaubt!A:A,List1!A:G,"",0,1)</f>
        <v>#REF!</v>
      </c>
    </row>
    <row r="12" spans="1:1" x14ac:dyDescent="0.25">
      <c r="A12" t="e" cm="1">
        <f t="array" ref="A12">_xlfn.XLOOKUP(List1!#REF!,erlaubt!A:A,List1!A:G,"",0,1)</f>
        <v>#REF!</v>
      </c>
    </row>
    <row r="13" spans="1:1" x14ac:dyDescent="0.25">
      <c r="A13" t="e" cm="1">
        <f t="array" ref="A13">_xlfn.XLOOKUP(List1!#REF!,erlaubt!A:A,List1!A:G,"",0,1)</f>
        <v>#REF!</v>
      </c>
    </row>
    <row r="14" spans="1:1" x14ac:dyDescent="0.25">
      <c r="A14" t="e" cm="1">
        <f t="array" ref="A14">_xlfn.XLOOKUP(List1!#REF!,erlaubt!A:A,List1!A:G,"",0,1)</f>
        <v>#REF!</v>
      </c>
    </row>
    <row r="15" spans="1:1" x14ac:dyDescent="0.25">
      <c r="A15" t="e" cm="1">
        <f t="array" ref="A15">_xlfn.XLOOKUP(List1!#REF!,erlaubt!A:A,List1!A:G,"",0,1)</f>
        <v>#REF!</v>
      </c>
    </row>
    <row r="16" spans="1:1" x14ac:dyDescent="0.25">
      <c r="A16" t="e" cm="1">
        <f t="array" ref="A16">_xlfn.XLOOKUP(List1!#REF!,erlaubt!A:A,List1!A:G,"",0,1)</f>
        <v>#REF!</v>
      </c>
    </row>
    <row r="17" spans="1:1" x14ac:dyDescent="0.25">
      <c r="A17" t="e" cm="1">
        <f t="array" ref="A17">_xlfn.XLOOKUP(List1!#REF!,erlaubt!A:A,List1!A:G,"",0,1)</f>
        <v>#REF!</v>
      </c>
    </row>
    <row r="18" spans="1:1" x14ac:dyDescent="0.25">
      <c r="A18" t="e" cm="1">
        <f t="array" ref="A18">_xlfn.XLOOKUP(List1!#REF!,erlaubt!A:A,List1!A:G,"",0,1)</f>
        <v>#REF!</v>
      </c>
    </row>
    <row r="19" spans="1:1" x14ac:dyDescent="0.25">
      <c r="A19" t="e" cm="1">
        <f t="array" ref="A19">_xlfn.XLOOKUP(List1!#REF!,erlaubt!A:A,List1!A:G,"",0,1)</f>
        <v>#REF!</v>
      </c>
    </row>
    <row r="20" spans="1:1" x14ac:dyDescent="0.25">
      <c r="A20" t="e" cm="1">
        <f t="array" ref="A20">_xlfn.XLOOKUP(List1!#REF!,erlaubt!A:A,List1!A:G,"",0,1)</f>
        <v>#REF!</v>
      </c>
    </row>
    <row r="21" spans="1:1" x14ac:dyDescent="0.25">
      <c r="A21" t="e" cm="1">
        <f t="array" ref="A21">_xlfn.XLOOKUP(List1!#REF!,erlaubt!A:A,List1!A:G,"",0,1)</f>
        <v>#REF!</v>
      </c>
    </row>
    <row r="22" spans="1:1" x14ac:dyDescent="0.25">
      <c r="A22" t="e" cm="1">
        <f t="array" ref="A22">_xlfn.XLOOKUP(List1!#REF!,erlaubt!A:A,List1!A:G,"",0,1)</f>
        <v>#REF!</v>
      </c>
    </row>
    <row r="23" spans="1:1" x14ac:dyDescent="0.25">
      <c r="A23" t="e" cm="1">
        <f t="array" ref="A23">_xlfn.XLOOKUP(List1!#REF!,erlaubt!A:A,List1!A:G,"",0,1)</f>
        <v>#REF!</v>
      </c>
    </row>
    <row r="24" spans="1:1" x14ac:dyDescent="0.25">
      <c r="A24" t="e" cm="1">
        <f t="array" ref="A24">_xlfn.XLOOKUP(List1!#REF!,erlaubt!A:A,List1!A:G,"",0,1)</f>
        <v>#REF!</v>
      </c>
    </row>
    <row r="25" spans="1:1" x14ac:dyDescent="0.25">
      <c r="A25" t="e" cm="1">
        <f t="array" ref="A25">_xlfn.XLOOKUP(List1!#REF!,erlaubt!A:A,List1!A:G,"",0,1)</f>
        <v>#REF!</v>
      </c>
    </row>
    <row r="26" spans="1:1" x14ac:dyDescent="0.25">
      <c r="A26" t="e" cm="1">
        <f t="array" ref="A26">_xlfn.XLOOKUP(List1!#REF!,erlaubt!A:A,List1!A:G,"",0,1)</f>
        <v>#REF!</v>
      </c>
    </row>
    <row r="27" spans="1:1" x14ac:dyDescent="0.25">
      <c r="A27" t="e" cm="1">
        <f t="array" ref="A27">_xlfn.XLOOKUP(List1!#REF!,erlaubt!A:A,List1!A:G,"",0,1)</f>
        <v>#REF!</v>
      </c>
    </row>
    <row r="28" spans="1:1" x14ac:dyDescent="0.25">
      <c r="A28" t="e" cm="1">
        <f t="array" ref="A28">_xlfn.XLOOKUP(List1!#REF!,erlaubt!A:A,List1!A:G,"",0,1)</f>
        <v>#REF!</v>
      </c>
    </row>
    <row r="29" spans="1:1" x14ac:dyDescent="0.25">
      <c r="A29" t="e" cm="1">
        <f t="array" ref="A29">_xlfn.XLOOKUP(List1!#REF!,erlaubt!A:A,List1!A:G,"",0,1)</f>
        <v>#REF!</v>
      </c>
    </row>
    <row r="30" spans="1:1" x14ac:dyDescent="0.25">
      <c r="A30" t="e" cm="1">
        <f t="array" ref="A30">_xlfn.XLOOKUP(List1!#REF!,erlaubt!A:A,List1!A:G,"",0,1)</f>
        <v>#REF!</v>
      </c>
    </row>
    <row r="31" spans="1:1" x14ac:dyDescent="0.25">
      <c r="A31" t="e" cm="1">
        <f t="array" ref="A31">_xlfn.XLOOKUP(List1!#REF!,erlaubt!A:A,List1!A:G,"",0,1)</f>
        <v>#REF!</v>
      </c>
    </row>
    <row r="32" spans="1:1" x14ac:dyDescent="0.25">
      <c r="A32" t="e" cm="1">
        <f t="array" ref="A32">_xlfn.XLOOKUP(List1!#REF!,erlaubt!A:A,List1!A:G,"",0,1)</f>
        <v>#REF!</v>
      </c>
    </row>
    <row r="33" spans="1:1" x14ac:dyDescent="0.25">
      <c r="A33" t="e" cm="1">
        <f t="array" ref="A33">_xlfn.XLOOKUP(List1!#REF!,erlaubt!A:A,List1!A:G,"",0,1)</f>
        <v>#REF!</v>
      </c>
    </row>
    <row r="34" spans="1:1" x14ac:dyDescent="0.25">
      <c r="A34" t="e" cm="1">
        <f t="array" ref="A34">_xlfn.XLOOKUP(List1!#REF!,erlaubt!A:A,List1!A:G,"",0,1)</f>
        <v>#REF!</v>
      </c>
    </row>
    <row r="35" spans="1:1" x14ac:dyDescent="0.25">
      <c r="A35" t="e" cm="1">
        <f t="array" ref="A35">_xlfn.XLOOKUP(List1!#REF!,erlaubt!A:A,List1!A:G,"",0,1)</f>
        <v>#REF!</v>
      </c>
    </row>
    <row r="36" spans="1:1" x14ac:dyDescent="0.25">
      <c r="A36" t="e" cm="1">
        <f t="array" ref="A36">_xlfn.XLOOKUP(List1!#REF!,erlaubt!A:A,List1!A:G,"",0,1)</f>
        <v>#REF!</v>
      </c>
    </row>
    <row r="37" spans="1:1" x14ac:dyDescent="0.25">
      <c r="A37" t="e" cm="1">
        <f t="array" ref="A37">_xlfn.XLOOKUP(List1!#REF!,erlaubt!A:A,List1!A:G,"",0,1)</f>
        <v>#REF!</v>
      </c>
    </row>
    <row r="38" spans="1:1" x14ac:dyDescent="0.25">
      <c r="A38" t="str" cm="1">
        <f t="array" ref="A38">_xlfn.XLOOKUP(List1!G2,erlaubt!A:A,List1!A:G,"",0,1)</f>
        <v/>
      </c>
    </row>
    <row r="39" spans="1:1" x14ac:dyDescent="0.25">
      <c r="A39" t="str" cm="1">
        <f t="array" ref="A39">_xlfn.XLOOKUP(List1!G3,erlaubt!A:A,List1!A:G,"",0,1)</f>
        <v/>
      </c>
    </row>
    <row r="40" spans="1:1" x14ac:dyDescent="0.25">
      <c r="A40" t="e" cm="1">
        <f t="array" ref="A40">_xlfn.XLOOKUP(List1!#REF!,erlaubt!A:A,List1!A:G,"",0,1)</f>
        <v>#REF!</v>
      </c>
    </row>
    <row r="41" spans="1:1" x14ac:dyDescent="0.25">
      <c r="A41" t="e" cm="1">
        <f t="array" ref="A41">_xlfn.XLOOKUP(List1!#REF!,erlaubt!A:A,List1!A:G,"",0,1)</f>
        <v>#REF!</v>
      </c>
    </row>
    <row r="42" spans="1:1" x14ac:dyDescent="0.25">
      <c r="A42" t="e" cm="1">
        <f t="array" ref="A42">_xlfn.XLOOKUP(List1!#REF!,erlaubt!A:A,List1!A:G,"",0,1)</f>
        <v>#REF!</v>
      </c>
    </row>
    <row r="43" spans="1:1" x14ac:dyDescent="0.25">
      <c r="A43" t="e" cm="1">
        <f t="array" ref="A43">_xlfn.XLOOKUP(List1!#REF!,erlaubt!A:A,List1!A:G,"",0,1)</f>
        <v>#REF!</v>
      </c>
    </row>
    <row r="44" spans="1:1" x14ac:dyDescent="0.25">
      <c r="A44" t="e" cm="1">
        <f t="array" ref="A44">_xlfn.XLOOKUP(List1!#REF!,erlaubt!A:A,List1!A:G,"",0,1)</f>
        <v>#REF!</v>
      </c>
    </row>
    <row r="45" spans="1:1" x14ac:dyDescent="0.25">
      <c r="A45" t="e" cm="1">
        <f t="array" ref="A45">_xlfn.XLOOKUP(List1!#REF!,erlaubt!A:A,List1!A:G,"",0,1)</f>
        <v>#REF!</v>
      </c>
    </row>
    <row r="46" spans="1:1" x14ac:dyDescent="0.25">
      <c r="A46" t="e" cm="1">
        <f t="array" ref="A46">_xlfn.XLOOKUP(List1!#REF!,erlaubt!A:A,List1!A:G,"",0,1)</f>
        <v>#REF!</v>
      </c>
    </row>
    <row r="47" spans="1:1" x14ac:dyDescent="0.25">
      <c r="A47" t="e" cm="1">
        <f t="array" ref="A47">_xlfn.XLOOKUP(List1!#REF!,erlaubt!A:A,List1!A:G,"",0,1)</f>
        <v>#REF!</v>
      </c>
    </row>
    <row r="48" spans="1:1" x14ac:dyDescent="0.25">
      <c r="A48" t="e" cm="1">
        <f t="array" ref="A48">_xlfn.XLOOKUP(List1!#REF!,erlaubt!A:A,List1!A:G,"",0,1)</f>
        <v>#REF!</v>
      </c>
    </row>
    <row r="49" spans="1:1" x14ac:dyDescent="0.25">
      <c r="A49" t="e" cm="1">
        <f t="array" ref="A49">_xlfn.XLOOKUP(List1!#REF!,erlaubt!A:A,List1!A:G,"",0,1)</f>
        <v>#REF!</v>
      </c>
    </row>
    <row r="50" spans="1:1" x14ac:dyDescent="0.25">
      <c r="A50" t="str" cm="1">
        <f t="array" ref="A50">_xlfn.XLOOKUP(List1!G4,erlaubt!A:A,List1!A:G,"",0,1)</f>
        <v/>
      </c>
    </row>
    <row r="51" spans="1:1" x14ac:dyDescent="0.25">
      <c r="A51" t="e" cm="1">
        <f t="array" ref="A51">_xlfn.XLOOKUP(List1!#REF!,erlaubt!A:A,List1!A:G,"",0,1)</f>
        <v>#REF!</v>
      </c>
    </row>
    <row r="52" spans="1:1" x14ac:dyDescent="0.25">
      <c r="A52" t="e" cm="1">
        <f t="array" ref="A52">_xlfn.XLOOKUP(List1!#REF!,erlaubt!A:A,List1!A:G,"",0,1)</f>
        <v>#REF!</v>
      </c>
    </row>
    <row r="53" spans="1:1" x14ac:dyDescent="0.25">
      <c r="A53" t="e" cm="1">
        <f t="array" ref="A53">_xlfn.XLOOKUP(List1!#REF!,erlaubt!A:A,List1!A:G,"",0,1)</f>
        <v>#REF!</v>
      </c>
    </row>
    <row r="54" spans="1:1" x14ac:dyDescent="0.25">
      <c r="A54" t="e" cm="1">
        <f t="array" ref="A54">_xlfn.XLOOKUP(List1!#REF!,erlaubt!A:A,List1!A:G,"",0,1)</f>
        <v>#REF!</v>
      </c>
    </row>
    <row r="55" spans="1:1" x14ac:dyDescent="0.25">
      <c r="A55" t="e" cm="1">
        <f t="array" ref="A55">_xlfn.XLOOKUP(List1!#REF!,erlaubt!A:A,List1!A:G,"",0,1)</f>
        <v>#REF!</v>
      </c>
    </row>
    <row r="56" spans="1:1" x14ac:dyDescent="0.25">
      <c r="A56" t="e" cm="1">
        <f t="array" ref="A56">_xlfn.XLOOKUP(List1!#REF!,erlaubt!A:A,List1!A:G,"",0,1)</f>
        <v>#REF!</v>
      </c>
    </row>
    <row r="57" spans="1:1" x14ac:dyDescent="0.25">
      <c r="A57" t="e" cm="1">
        <f t="array" ref="A57">_xlfn.XLOOKUP(List1!#REF!,erlaubt!A:A,List1!A:G,"",0,1)</f>
        <v>#REF!</v>
      </c>
    </row>
    <row r="58" spans="1:1" x14ac:dyDescent="0.25">
      <c r="A58" t="e" cm="1">
        <f t="array" ref="A58">_xlfn.XLOOKUP(List1!#REF!,erlaubt!A:A,List1!A:G,"",0,1)</f>
        <v>#REF!</v>
      </c>
    </row>
    <row r="59" spans="1:1" x14ac:dyDescent="0.25">
      <c r="A59" t="e" cm="1">
        <f t="array" ref="A59">_xlfn.XLOOKUP(List1!#REF!,erlaubt!A:A,List1!A:G,"",0,1)</f>
        <v>#REF!</v>
      </c>
    </row>
    <row r="60" spans="1:1" x14ac:dyDescent="0.25">
      <c r="A60" t="str" cm="1">
        <f t="array" ref="A60">_xlfn.XLOOKUP(List1!G5,erlaubt!A:A,List1!A:G,"",0,1)</f>
        <v/>
      </c>
    </row>
    <row r="61" spans="1:1" x14ac:dyDescent="0.25">
      <c r="A61" t="str" cm="1">
        <f t="array" ref="A61">_xlfn.XLOOKUP(List1!G6,erlaubt!A:A,List1!A:G,"",0,1)</f>
        <v/>
      </c>
    </row>
    <row r="62" spans="1:1" x14ac:dyDescent="0.25">
      <c r="A62" t="str" cm="1">
        <f t="array" ref="A62">_xlfn.XLOOKUP(List1!G7,erlaubt!A:A,List1!A:G,"",0,1)</f>
        <v/>
      </c>
    </row>
    <row r="63" spans="1:1" x14ac:dyDescent="0.25">
      <c r="A63" t="str" cm="1">
        <f t="array" ref="A63">_xlfn.XLOOKUP(List1!G8,erlaubt!A:A,List1!A:G,"",0,1)</f>
        <v/>
      </c>
    </row>
    <row r="64" spans="1:1" x14ac:dyDescent="0.25">
      <c r="A64" t="str" cm="1">
        <f t="array" ref="A64">_xlfn.XLOOKUP(List1!G9,erlaubt!A:A,List1!A:G,"",0,1)</f>
        <v/>
      </c>
    </row>
    <row r="65" spans="1:1" x14ac:dyDescent="0.25">
      <c r="A65" t="str" cm="1">
        <f t="array" ref="A65">_xlfn.XLOOKUP(List1!G10,erlaubt!A:A,List1!A:G,"",0,1)</f>
        <v/>
      </c>
    </row>
    <row r="66" spans="1:1" x14ac:dyDescent="0.25">
      <c r="A66" t="str" cm="1">
        <f t="array" ref="A66">_xlfn.XLOOKUP(List1!G11,erlaubt!A:A,List1!A:G,"",0,1)</f>
        <v/>
      </c>
    </row>
    <row r="67" spans="1:1" x14ac:dyDescent="0.25">
      <c r="A67" t="e" cm="1">
        <f t="array" ref="A67">_xlfn.XLOOKUP(List1!#REF!,erlaubt!A:A,List1!A:G,"",0,1)</f>
        <v>#REF!</v>
      </c>
    </row>
    <row r="68" spans="1:1" x14ac:dyDescent="0.25">
      <c r="A68" t="str" cm="1">
        <f t="array" ref="A68">_xlfn.XLOOKUP(List1!G12,erlaubt!A:A,List1!A:G,"",0,1)</f>
        <v/>
      </c>
    </row>
    <row r="69" spans="1:1" x14ac:dyDescent="0.25">
      <c r="A69" t="str" cm="1">
        <f t="array" ref="A69">_xlfn.XLOOKUP(List1!G13,erlaubt!A:A,List1!A:G,"",0,1)</f>
        <v/>
      </c>
    </row>
    <row r="70" spans="1:1" x14ac:dyDescent="0.25">
      <c r="A70" t="e" cm="1">
        <f t="array" ref="A70">_xlfn.XLOOKUP(List1!#REF!,erlaubt!A:A,List1!A:G,"",0,1)</f>
        <v>#REF!</v>
      </c>
    </row>
    <row r="71" spans="1:1" x14ac:dyDescent="0.25">
      <c r="A71" t="e" cm="1">
        <f t="array" ref="A71">_xlfn.XLOOKUP(List1!#REF!,erlaubt!A:A,List1!A:G,"",0,1)</f>
        <v>#REF!</v>
      </c>
    </row>
    <row r="72" spans="1:1" x14ac:dyDescent="0.25">
      <c r="A72" t="str" cm="1">
        <f t="array" ref="A72">_xlfn.XLOOKUP(List1!G14,erlaubt!A:A,List1!A:G,"",0,1)</f>
        <v/>
      </c>
    </row>
    <row r="73" spans="1:1" x14ac:dyDescent="0.25">
      <c r="A73" t="str" cm="1">
        <f t="array" ref="A73">_xlfn.XLOOKUP(List1!G15,erlaubt!A:A,List1!A:G,"",0,1)</f>
        <v/>
      </c>
    </row>
    <row r="74" spans="1:1" x14ac:dyDescent="0.25">
      <c r="A74" t="str" cm="1">
        <f t="array" ref="A74">_xlfn.XLOOKUP(List1!G16,erlaubt!A:A,List1!A:G,"",0,1)</f>
        <v/>
      </c>
    </row>
    <row r="75" spans="1:1" x14ac:dyDescent="0.25">
      <c r="A75" t="e" cm="1">
        <f t="array" ref="A75">_xlfn.XLOOKUP(List1!#REF!,erlaubt!A:A,List1!A:G,"",0,1)</f>
        <v>#REF!</v>
      </c>
    </row>
    <row r="76" spans="1:1" x14ac:dyDescent="0.25">
      <c r="A76" t="e" cm="1">
        <f t="array" ref="A76">_xlfn.XLOOKUP(List1!#REF!,erlaubt!A:A,List1!A:G,"",0,1)</f>
        <v>#REF!</v>
      </c>
    </row>
    <row r="77" spans="1:1" x14ac:dyDescent="0.25">
      <c r="A77" t="e" cm="1">
        <f t="array" ref="A77">_xlfn.XLOOKUP(List1!#REF!,erlaubt!A:A,List1!A:G,"",0,1)</f>
        <v>#REF!</v>
      </c>
    </row>
    <row r="78" spans="1:1" x14ac:dyDescent="0.25">
      <c r="A78" t="str" cm="1">
        <f t="array" ref="A78">_xlfn.XLOOKUP(List1!G17,erlaubt!A:A,List1!A:G,"",0,1)</f>
        <v/>
      </c>
    </row>
    <row r="79" spans="1:1" x14ac:dyDescent="0.25">
      <c r="A79" t="e" cm="1">
        <f t="array" ref="A79">_xlfn.XLOOKUP(List1!#REF!,erlaubt!A:A,List1!A:G,"",0,1)</f>
        <v>#REF!</v>
      </c>
    </row>
    <row r="80" spans="1:1" x14ac:dyDescent="0.25">
      <c r="A80" t="e" cm="1">
        <f t="array" ref="A80">_xlfn.XLOOKUP(List1!#REF!,erlaubt!A:A,List1!A:G,"",0,1)</f>
        <v>#REF!</v>
      </c>
    </row>
    <row r="81" spans="1:1" x14ac:dyDescent="0.25">
      <c r="A81" t="e" cm="1">
        <f t="array" ref="A81">_xlfn.XLOOKUP(List1!#REF!,erlaubt!A:A,List1!A:G,"",0,1)</f>
        <v>#REF!</v>
      </c>
    </row>
    <row r="82" spans="1:1" x14ac:dyDescent="0.25">
      <c r="A82" t="e" cm="1">
        <f t="array" ref="A82">_xlfn.XLOOKUP(List1!#REF!,erlaubt!A:A,List1!A:G,"",0,1)</f>
        <v>#REF!</v>
      </c>
    </row>
    <row r="83" spans="1:1" x14ac:dyDescent="0.25">
      <c r="A83" t="e" cm="1">
        <f t="array" ref="A83">_xlfn.XLOOKUP(List1!#REF!,erlaubt!A:A,List1!A:G,"",0,1)</f>
        <v>#REF!</v>
      </c>
    </row>
    <row r="84" spans="1:1" x14ac:dyDescent="0.25">
      <c r="A84" t="e" cm="1">
        <f t="array" ref="A84">_xlfn.XLOOKUP(List1!#REF!,erlaubt!A:A,List1!A:G,"",0,1)</f>
        <v>#REF!</v>
      </c>
    </row>
    <row r="85" spans="1:1" x14ac:dyDescent="0.25">
      <c r="A85" t="str" cm="1">
        <f t="array" ref="A85">_xlfn.XLOOKUP(List1!G18,erlaubt!A:A,List1!A:G,"",0,1)</f>
        <v/>
      </c>
    </row>
    <row r="86" spans="1:1" x14ac:dyDescent="0.25">
      <c r="A86" t="e" cm="1">
        <f t="array" ref="A86">_xlfn.XLOOKUP(List1!#REF!,erlaubt!A:A,List1!A:G,"",0,1)</f>
        <v>#REF!</v>
      </c>
    </row>
    <row r="87" spans="1:1" x14ac:dyDescent="0.25">
      <c r="A87" t="e" cm="1">
        <f t="array" ref="A87">_xlfn.XLOOKUP(List1!#REF!,erlaubt!A:A,List1!A:G,"",0,1)</f>
        <v>#REF!</v>
      </c>
    </row>
    <row r="88" spans="1:1" x14ac:dyDescent="0.25">
      <c r="A88" t="e" cm="1">
        <f t="array" ref="A88">_xlfn.XLOOKUP(List1!#REF!,erlaubt!A:A,List1!A:G,"",0,1)</f>
        <v>#REF!</v>
      </c>
    </row>
    <row r="89" spans="1:1" x14ac:dyDescent="0.25">
      <c r="A89" t="e" cm="1">
        <f t="array" ref="A89">_xlfn.XLOOKUP(List1!#REF!,erlaubt!A:A,List1!A:G,"",0,1)</f>
        <v>#REF!</v>
      </c>
    </row>
    <row r="90" spans="1:1" x14ac:dyDescent="0.25">
      <c r="A90" t="e" cm="1">
        <f t="array" ref="A90">_xlfn.XLOOKUP(List1!#REF!,erlaubt!A:A,List1!A:G,"",0,1)</f>
        <v>#REF!</v>
      </c>
    </row>
    <row r="91" spans="1:1" x14ac:dyDescent="0.25">
      <c r="A91" t="e" cm="1">
        <f t="array" ref="A91">_xlfn.XLOOKUP(List1!#REF!,erlaubt!A:A,List1!A:G,"",0,1)</f>
        <v>#REF!</v>
      </c>
    </row>
    <row r="92" spans="1:1" x14ac:dyDescent="0.25">
      <c r="A92" t="e" cm="1">
        <f t="array" ref="A92">_xlfn.XLOOKUP(List1!#REF!,erlaubt!A:A,List1!A:G,"",0,1)</f>
        <v>#REF!</v>
      </c>
    </row>
    <row r="93" spans="1:1" x14ac:dyDescent="0.25">
      <c r="A93" t="e" cm="1">
        <f t="array" ref="A93">_xlfn.XLOOKUP(List1!#REF!,erlaubt!A:A,List1!A:G,"",0,1)</f>
        <v>#REF!</v>
      </c>
    </row>
    <row r="94" spans="1:1" x14ac:dyDescent="0.25">
      <c r="A94" t="str" cm="1">
        <f t="array" ref="A94">_xlfn.XLOOKUP(List1!G19,erlaubt!A:A,List1!A:G,"",0,1)</f>
        <v/>
      </c>
    </row>
    <row r="95" spans="1:1" x14ac:dyDescent="0.25">
      <c r="A95" t="str" cm="1">
        <f t="array" ref="A95">_xlfn.XLOOKUP(List1!G20,erlaubt!A:A,List1!A:G,"",0,1)</f>
        <v/>
      </c>
    </row>
    <row r="96" spans="1:1" x14ac:dyDescent="0.25">
      <c r="A96" t="str" cm="1">
        <f t="array" ref="A96">_xlfn.XLOOKUP(List1!G21,erlaubt!A:A,List1!A:G,"",0,1)</f>
        <v/>
      </c>
    </row>
    <row r="97" spans="1:7" x14ac:dyDescent="0.25">
      <c r="A97" t="str" cm="1">
        <f t="array" ref="A97">_xlfn.XLOOKUP(List1!G22,erlaubt!A:A,List1!A:G,"",0,1)</f>
        <v/>
      </c>
    </row>
    <row r="98" spans="1:7" x14ac:dyDescent="0.25">
      <c r="A98" t="str" cm="1">
        <f t="array" ref="A98:G98">_xlfn.XLOOKUP(List1!G23,erlaubt!A:A,List1!A:G,"",0,1)</f>
        <v>ASCRIPT_RKWA_5K_DES_1</v>
      </c>
      <c r="B98" t="str">
        <v>fertig</v>
      </c>
      <c r="C98">
        <v>45909</v>
      </c>
      <c r="D98">
        <v>0.62745370370370002</v>
      </c>
      <c r="E98" t="str">
        <v>9404639</v>
      </c>
      <c r="F98" t="str">
        <v>X</v>
      </c>
      <c r="G98" t="str">
        <v>RKWA</v>
      </c>
    </row>
    <row r="99" spans="1:7" x14ac:dyDescent="0.25">
      <c r="A99" t="e" cm="1">
        <f t="array" ref="A99">_xlfn.XLOOKUP(List1!#REF!,erlaubt!A:A,List1!A:G,"",0,1)</f>
        <v>#REF!</v>
      </c>
    </row>
    <row r="100" spans="1:7" x14ac:dyDescent="0.25">
      <c r="A100" t="str" cm="1">
        <f t="array" ref="A100">_xlfn.XLOOKUP(List1!G24,erlaubt!A:A,List1!A:G,"",0,1)</f>
        <v/>
      </c>
    </row>
    <row r="101" spans="1:7" x14ac:dyDescent="0.25">
      <c r="A101" t="str" cm="1">
        <f t="array" ref="A101">_xlfn.XLOOKUP(List1!G25,erlaubt!A:A,List1!A:G,"",0,1)</f>
        <v/>
      </c>
    </row>
    <row r="102" spans="1:7" x14ac:dyDescent="0.25">
      <c r="A102" t="str" cm="1">
        <f t="array" ref="A102">_xlfn.XLOOKUP(List1!G26,erlaubt!A:A,List1!A:G,"",0,1)</f>
        <v/>
      </c>
    </row>
    <row r="103" spans="1:7" x14ac:dyDescent="0.25">
      <c r="A103" t="str" cm="1">
        <f t="array" ref="A103">_xlfn.XLOOKUP(List1!G27,erlaubt!A:A,List1!A:G,"",0,1)</f>
        <v/>
      </c>
    </row>
    <row r="104" spans="1:7" x14ac:dyDescent="0.25">
      <c r="A104" t="str" cm="1">
        <f t="array" ref="A104">_xlfn.XLOOKUP(List1!G28,erlaubt!A:A,List1!A:G,"",0,1)</f>
        <v/>
      </c>
    </row>
    <row r="105" spans="1:7" x14ac:dyDescent="0.25">
      <c r="A105" t="str" cm="1">
        <f t="array" ref="A105">_xlfn.XLOOKUP(List1!G29,erlaubt!A:A,List1!A:G,"",0,1)</f>
        <v/>
      </c>
    </row>
    <row r="106" spans="1:7" x14ac:dyDescent="0.25">
      <c r="A106" t="str" cm="1">
        <f t="array" ref="A106:G106">_xlfn.XLOOKUP(List1!G30,erlaubt!A:A,List1!A:G,"",0,1)</f>
        <v>jobname</v>
      </c>
      <c r="B106" t="str">
        <v>status</v>
      </c>
      <c r="C106" t="str">
        <v>startdate</v>
      </c>
      <c r="D106" t="str">
        <v>starttime</v>
      </c>
      <c r="E106" t="str">
        <v>spoolnumber</v>
      </c>
      <c r="F106" t="str">
        <v>done</v>
      </c>
      <c r="G106" t="str">
        <v>dbname</v>
      </c>
    </row>
    <row r="107" spans="1:7" x14ac:dyDescent="0.25">
      <c r="A107" t="str" cm="1">
        <f t="array" ref="A107">_xlfn.XLOOKUP(List1!G31,erlaubt!A:A,List1!A:G,"",0,1)</f>
        <v/>
      </c>
    </row>
    <row r="108" spans="1:7" x14ac:dyDescent="0.25">
      <c r="A108" t="str" cm="1">
        <f t="array" ref="A108">_xlfn.XLOOKUP(List1!G32,erlaubt!A:A,List1!A:G,"",0,1)</f>
        <v/>
      </c>
    </row>
    <row r="109" spans="1:7" x14ac:dyDescent="0.25">
      <c r="A109" t="str" cm="1">
        <f t="array" ref="A109">_xlfn.XLOOKUP(List1!G33,erlaubt!A:A,List1!A:G,"",0,1)</f>
        <v/>
      </c>
    </row>
    <row r="110" spans="1:7" x14ac:dyDescent="0.25">
      <c r="A110" t="str" cm="1">
        <f t="array" ref="A110">_xlfn.XLOOKUP(List1!G34,erlaubt!A:A,List1!A:G,"",0,1)</f>
        <v/>
      </c>
    </row>
    <row r="111" spans="1:7" x14ac:dyDescent="0.25">
      <c r="A111" t="e" cm="1">
        <f t="array" ref="A111">_xlfn.XLOOKUP(List1!#REF!,erlaubt!A:A,List1!A:G,"",0,1)</f>
        <v>#REF!</v>
      </c>
    </row>
    <row r="112" spans="1:7" x14ac:dyDescent="0.25">
      <c r="A112" t="e" cm="1">
        <f t="array" ref="A112">_xlfn.XLOOKUP(List1!#REF!,erlaubt!A:A,List1!A:G,"",0,1)</f>
        <v>#REF!</v>
      </c>
    </row>
    <row r="113" spans="1:1" x14ac:dyDescent="0.25">
      <c r="A113" t="e" cm="1">
        <f t="array" ref="A113">_xlfn.XLOOKUP(List1!#REF!,erlaubt!A:A,List1!A:G,"",0,1)</f>
        <v>#REF!</v>
      </c>
    </row>
    <row r="114" spans="1:1" x14ac:dyDescent="0.25">
      <c r="A114" t="e" cm="1">
        <f t="array" ref="A114">_xlfn.XLOOKUP(List1!#REF!,erlaubt!A:A,List1!A:G,"",0,1)</f>
        <v>#REF!</v>
      </c>
    </row>
    <row r="115" spans="1:1" x14ac:dyDescent="0.25">
      <c r="A115" t="e" cm="1">
        <f t="array" ref="A115">_xlfn.XLOOKUP(List1!#REF!,erlaubt!A:A,List1!A:G,"",0,1)</f>
        <v>#REF!</v>
      </c>
    </row>
    <row r="116" spans="1:1" x14ac:dyDescent="0.25">
      <c r="A116" t="e" cm="1">
        <f t="array" ref="A116">_xlfn.XLOOKUP(List1!#REF!,erlaubt!A:A,List1!A:G,"",0,1)</f>
        <v>#REF!</v>
      </c>
    </row>
    <row r="117" spans="1:1" x14ac:dyDescent="0.25">
      <c r="A117" t="e" cm="1">
        <f t="array" ref="A117">_xlfn.XLOOKUP(List1!#REF!,erlaubt!A:A,List1!A:G,"",0,1)</f>
        <v>#REF!</v>
      </c>
    </row>
    <row r="118" spans="1:1" x14ac:dyDescent="0.25">
      <c r="A118" t="e" cm="1">
        <f t="array" ref="A118">_xlfn.XLOOKUP(List1!#REF!,erlaubt!A:A,List1!A:G,"",0,1)</f>
        <v>#REF!</v>
      </c>
    </row>
    <row r="119" spans="1:1" x14ac:dyDescent="0.25">
      <c r="A119" t="str" cm="1">
        <f t="array" ref="A119">_xlfn.XLOOKUP(List1!G35,erlaubt!A:A,List1!A:G,"",0,1)</f>
        <v/>
      </c>
    </row>
    <row r="120" spans="1:1" x14ac:dyDescent="0.25">
      <c r="A120" t="str" cm="1">
        <f t="array" ref="A120">_xlfn.XLOOKUP(List1!G36,erlaubt!A:A,List1!A:G,"",0,1)</f>
        <v/>
      </c>
    </row>
    <row r="121" spans="1:1" x14ac:dyDescent="0.25">
      <c r="A121" t="str" cm="1">
        <f t="array" ref="A121">_xlfn.XLOOKUP(List1!G37,erlaubt!A:A,List1!A:G,"",0,1)</f>
        <v/>
      </c>
    </row>
    <row r="122" spans="1:1" x14ac:dyDescent="0.25">
      <c r="A122" t="str" cm="1">
        <f t="array" ref="A122">_xlfn.XLOOKUP(List1!G38,erlaubt!A:A,List1!A:G,"",0,1)</f>
        <v/>
      </c>
    </row>
    <row r="123" spans="1:1" x14ac:dyDescent="0.25">
      <c r="A123" t="e" cm="1">
        <f t="array" ref="A123">_xlfn.XLOOKUP(List1!#REF!,erlaubt!A:A,List1!A:G,"",0,1)</f>
        <v>#REF!</v>
      </c>
    </row>
    <row r="124" spans="1:1" x14ac:dyDescent="0.25">
      <c r="A124" t="e" cm="1">
        <f t="array" ref="A124">_xlfn.XLOOKUP(List1!#REF!,erlaubt!A:A,List1!A:G,"",0,1)</f>
        <v>#REF!</v>
      </c>
    </row>
    <row r="125" spans="1:1" x14ac:dyDescent="0.25">
      <c r="A125" t="e" cm="1">
        <f t="array" ref="A125">_xlfn.XLOOKUP(List1!#REF!,erlaubt!A:A,List1!A:G,"",0,1)</f>
        <v>#REF!</v>
      </c>
    </row>
    <row r="126" spans="1:1" x14ac:dyDescent="0.25">
      <c r="A126" t="e" cm="1">
        <f t="array" ref="A126">_xlfn.XLOOKUP(List1!#REF!,erlaubt!A:A,List1!A:G,"",0,1)</f>
        <v>#REF!</v>
      </c>
    </row>
    <row r="127" spans="1:1" x14ac:dyDescent="0.25">
      <c r="A127" t="e" cm="1">
        <f t="array" ref="A127">_xlfn.XLOOKUP(List1!#REF!,erlaubt!A:A,List1!A:G,"",0,1)</f>
        <v>#REF!</v>
      </c>
    </row>
    <row r="128" spans="1:1" x14ac:dyDescent="0.25">
      <c r="A128" t="e" cm="1">
        <f t="array" ref="A128">_xlfn.XLOOKUP(List1!#REF!,erlaubt!A:A,List1!A:G,"",0,1)</f>
        <v>#REF!</v>
      </c>
    </row>
    <row r="129" spans="1:1" x14ac:dyDescent="0.25">
      <c r="A129" t="e" cm="1">
        <f t="array" ref="A129">_xlfn.XLOOKUP(List1!#REF!,erlaubt!A:A,List1!A:G,"",0,1)</f>
        <v>#REF!</v>
      </c>
    </row>
    <row r="130" spans="1:1" x14ac:dyDescent="0.25">
      <c r="A130" t="e" cm="1">
        <f t="array" ref="A130">_xlfn.XLOOKUP(List1!#REF!,erlaubt!A:A,List1!A:G,"",0,1)</f>
        <v>#REF!</v>
      </c>
    </row>
    <row r="131" spans="1:1" x14ac:dyDescent="0.25">
      <c r="A131" t="e" cm="1">
        <f t="array" ref="A131">_xlfn.XLOOKUP(List1!#REF!,erlaubt!A:A,List1!A:G,"",0,1)</f>
        <v>#REF!</v>
      </c>
    </row>
    <row r="132" spans="1:1" x14ac:dyDescent="0.25">
      <c r="A132" t="str" cm="1">
        <f t="array" ref="A132">_xlfn.XLOOKUP(List1!G39,erlaubt!A:A,List1!A:G,"",0,1)</f>
        <v/>
      </c>
    </row>
    <row r="133" spans="1:1" x14ac:dyDescent="0.25">
      <c r="A133" t="str" cm="1">
        <f t="array" ref="A133">_xlfn.XLOOKUP(List1!G40,erlaubt!A:A,List1!A:G,"",0,1)</f>
        <v/>
      </c>
    </row>
    <row r="134" spans="1:1" x14ac:dyDescent="0.25">
      <c r="A134" t="str" cm="1">
        <f t="array" ref="A134">_xlfn.XLOOKUP(List1!G41,erlaubt!A:A,List1!A:G,"",0,1)</f>
        <v/>
      </c>
    </row>
    <row r="135" spans="1:1" x14ac:dyDescent="0.25">
      <c r="A135" t="e" cm="1">
        <f t="array" ref="A135">_xlfn.XLOOKUP(List1!#REF!,erlaubt!A:A,List1!A:G,"",0,1)</f>
        <v>#REF!</v>
      </c>
    </row>
    <row r="136" spans="1:1" x14ac:dyDescent="0.25">
      <c r="A136" t="str" cm="1">
        <f t="array" ref="A136">_xlfn.XLOOKUP(List1!G42,erlaubt!A:A,List1!A:G,"",0,1)</f>
        <v/>
      </c>
    </row>
    <row r="137" spans="1:1" x14ac:dyDescent="0.25">
      <c r="A137" t="e" cm="1">
        <f t="array" ref="A137">_xlfn.XLOOKUP(List1!#REF!,erlaubt!A:A,List1!A:G,"",0,1)</f>
        <v>#REF!</v>
      </c>
    </row>
    <row r="138" spans="1:1" x14ac:dyDescent="0.25">
      <c r="A138" t="e" cm="1">
        <f t="array" ref="A138">_xlfn.XLOOKUP(List1!#REF!,erlaubt!A:A,List1!A:G,"",0,1)</f>
        <v>#REF!</v>
      </c>
    </row>
    <row r="139" spans="1:1" x14ac:dyDescent="0.25">
      <c r="A139" t="e" cm="1">
        <f t="array" ref="A139">_xlfn.XLOOKUP(List1!#REF!,erlaubt!A:A,List1!A:G,"",0,1)</f>
        <v>#REF!</v>
      </c>
    </row>
    <row r="140" spans="1:1" x14ac:dyDescent="0.25">
      <c r="A140" t="str" cm="1">
        <f t="array" ref="A140">_xlfn.XLOOKUP(List1!G43,erlaubt!A:A,List1!A:G,"",0,1)</f>
        <v/>
      </c>
    </row>
    <row r="141" spans="1:1" x14ac:dyDescent="0.25">
      <c r="A141" t="str" cm="1">
        <f t="array" ref="A141">_xlfn.XLOOKUP(List1!G44,erlaubt!A:A,List1!A:G,"",0,1)</f>
        <v/>
      </c>
    </row>
    <row r="142" spans="1:1" x14ac:dyDescent="0.25">
      <c r="A142" t="str" cm="1">
        <f t="array" ref="A142">_xlfn.XLOOKUP(List1!G45,erlaubt!A:A,List1!A:G,"",0,1)</f>
        <v/>
      </c>
    </row>
    <row r="143" spans="1:1" x14ac:dyDescent="0.25">
      <c r="A143" t="str" cm="1">
        <f t="array" ref="A143">_xlfn.XLOOKUP(List1!G46,erlaubt!A:A,List1!A:G,"",0,1)</f>
        <v/>
      </c>
    </row>
    <row r="144" spans="1:1" x14ac:dyDescent="0.25">
      <c r="A144" t="e" cm="1">
        <f t="array" ref="A144">_xlfn.XLOOKUP(List1!#REF!,erlaubt!A:A,List1!A:G,"",0,1)</f>
        <v>#REF!</v>
      </c>
    </row>
    <row r="145" spans="1:1" x14ac:dyDescent="0.25">
      <c r="A145" t="e" cm="1">
        <f t="array" ref="A145">_xlfn.XLOOKUP(List1!#REF!,erlaubt!A:A,List1!A:G,"",0,1)</f>
        <v>#REF!</v>
      </c>
    </row>
    <row r="146" spans="1:1" x14ac:dyDescent="0.25">
      <c r="A146" t="e" cm="1">
        <f t="array" ref="A146">_xlfn.XLOOKUP(List1!#REF!,erlaubt!A:A,List1!A:G,"",0,1)</f>
        <v>#REF!</v>
      </c>
    </row>
    <row r="147" spans="1:1" x14ac:dyDescent="0.25">
      <c r="A147" t="str" cm="1">
        <f t="array" ref="A147">_xlfn.XLOOKUP(List1!G47,erlaubt!A:A,List1!A:G,"",0,1)</f>
        <v/>
      </c>
    </row>
    <row r="148" spans="1:1" x14ac:dyDescent="0.25">
      <c r="A148" t="e" cm="1">
        <f t="array" ref="A148">_xlfn.XLOOKUP(List1!#REF!,erlaubt!A:A,List1!A:G,"",0,1)</f>
        <v>#REF!</v>
      </c>
    </row>
    <row r="149" spans="1:1" x14ac:dyDescent="0.25">
      <c r="A149" t="str" cm="1">
        <f t="array" ref="A149">_xlfn.XLOOKUP(List1!G48,erlaubt!A:A,List1!A:G,"",0,1)</f>
        <v/>
      </c>
    </row>
    <row r="150" spans="1:1" x14ac:dyDescent="0.25">
      <c r="A150" t="str" cm="1">
        <f t="array" ref="A150">_xlfn.XLOOKUP(List1!G49,erlaubt!A:A,List1!A:G,"",0,1)</f>
        <v/>
      </c>
    </row>
    <row r="151" spans="1:1" x14ac:dyDescent="0.25">
      <c r="A151" t="str" cm="1">
        <f t="array" ref="A151">_xlfn.XLOOKUP(List1!G50,erlaubt!A:A,List1!A:G,"",0,1)</f>
        <v/>
      </c>
    </row>
    <row r="152" spans="1:1" x14ac:dyDescent="0.25">
      <c r="A152" t="str" cm="1">
        <f t="array" ref="A152">_xlfn.XLOOKUP(List1!G51,erlaubt!A:A,List1!A:G,"",0,1)</f>
        <v/>
      </c>
    </row>
    <row r="153" spans="1:1" x14ac:dyDescent="0.25">
      <c r="A153" t="str" cm="1">
        <f t="array" ref="A153">_xlfn.XLOOKUP(List1!G52,erlaubt!A:A,List1!A:G,"",0,1)</f>
        <v/>
      </c>
    </row>
    <row r="154" spans="1:1" x14ac:dyDescent="0.25">
      <c r="A154" t="e" cm="1">
        <f t="array" ref="A154">_xlfn.XLOOKUP(List1!#REF!,erlaubt!A:A,List1!A:G,"",0,1)</f>
        <v>#REF!</v>
      </c>
    </row>
    <row r="155" spans="1:1" x14ac:dyDescent="0.25">
      <c r="A155" t="e" cm="1">
        <f t="array" ref="A155">_xlfn.XLOOKUP(List1!#REF!,erlaubt!A:A,List1!A:G,"",0,1)</f>
        <v>#REF!</v>
      </c>
    </row>
    <row r="156" spans="1:1" x14ac:dyDescent="0.25">
      <c r="A156" t="str" cm="1">
        <f t="array" ref="A156">_xlfn.XLOOKUP(List1!G53,erlaubt!A:A,List1!A:G,"",0,1)</f>
        <v/>
      </c>
    </row>
    <row r="157" spans="1:1" x14ac:dyDescent="0.25">
      <c r="A157" t="str" cm="1">
        <f t="array" ref="A157">_xlfn.XLOOKUP(List1!G54,erlaubt!A:A,List1!A:G,"",0,1)</f>
        <v/>
      </c>
    </row>
    <row r="158" spans="1:1" x14ac:dyDescent="0.25">
      <c r="A158" t="e" cm="1">
        <f t="array" ref="A158">_xlfn.XLOOKUP(List1!#REF!,erlaubt!A:A,List1!A:G,"",0,1)</f>
        <v>#REF!</v>
      </c>
    </row>
    <row r="159" spans="1:1" x14ac:dyDescent="0.25">
      <c r="A159" t="e" cm="1">
        <f t="array" ref="A159">_xlfn.XLOOKUP(List1!#REF!,erlaubt!A:A,List1!A:G,"",0,1)</f>
        <v>#REF!</v>
      </c>
    </row>
    <row r="160" spans="1:1" x14ac:dyDescent="0.25">
      <c r="A160" t="e" cm="1">
        <f t="array" ref="A160">_xlfn.XLOOKUP(List1!#REF!,erlaubt!A:A,List1!A:G,"",0,1)</f>
        <v>#REF!</v>
      </c>
    </row>
    <row r="161" spans="1:7" x14ac:dyDescent="0.25">
      <c r="A161" t="e" cm="1">
        <f t="array" ref="A161">_xlfn.XLOOKUP(List1!#REF!,erlaubt!A:A,List1!A:G,"",0,1)</f>
        <v>#REF!</v>
      </c>
    </row>
    <row r="162" spans="1:7" x14ac:dyDescent="0.25">
      <c r="A162" t="str" cm="1">
        <f t="array" ref="A162">_xlfn.XLOOKUP(List1!G55,erlaubt!A:A,List1!A:G,"",0,1)</f>
        <v/>
      </c>
    </row>
    <row r="163" spans="1:7" x14ac:dyDescent="0.25">
      <c r="A163" t="str" cm="1">
        <f t="array" ref="A163">_xlfn.XLOOKUP(List1!G56,erlaubt!A:A,List1!A:G,"",0,1)</f>
        <v/>
      </c>
    </row>
    <row r="164" spans="1:7" x14ac:dyDescent="0.25">
      <c r="A164" t="str" cm="1">
        <f t="array" ref="A164">_xlfn.XLOOKUP(List1!G57,erlaubt!A:A,List1!A:G,"",0,1)</f>
        <v/>
      </c>
    </row>
    <row r="165" spans="1:7" x14ac:dyDescent="0.25">
      <c r="A165" t="str" cm="1">
        <f t="array" ref="A165:G165">_xlfn.XLOOKUP(List1!G58,erlaubt!A:A,List1!A:G,"",0,1)</f>
        <v>ASCRIPT_B049_5K_DES_1</v>
      </c>
      <c r="B165" t="str">
        <v>fertig</v>
      </c>
      <c r="C165">
        <v>45909</v>
      </c>
      <c r="D165">
        <v>0.57527777777778</v>
      </c>
      <c r="E165" t="str">
        <v>9404738</v>
      </c>
      <c r="F165" t="str">
        <v>X</v>
      </c>
      <c r="G165" t="str">
        <v>B049</v>
      </c>
    </row>
    <row r="166" spans="1:7" x14ac:dyDescent="0.25">
      <c r="A166" t="str" cm="1">
        <f t="array" ref="A166:G166">_xlfn.XLOOKUP(List1!G59,erlaubt!A:A,List1!A:G,"",0,1)</f>
        <v>ASCRIPT_B049_5K_DES_1</v>
      </c>
      <c r="B166" t="str">
        <v>fertig</v>
      </c>
      <c r="C166">
        <v>45909</v>
      </c>
      <c r="D166">
        <v>0.57527777777778</v>
      </c>
      <c r="E166" t="str">
        <v>9404738</v>
      </c>
      <c r="F166" t="str">
        <v>X</v>
      </c>
      <c r="G166" t="str">
        <v>B049</v>
      </c>
    </row>
    <row r="167" spans="1:7" x14ac:dyDescent="0.25">
      <c r="A167" t="str" cm="1">
        <f t="array" ref="A167:G167">_xlfn.XLOOKUP(List1!G60,erlaubt!A:A,List1!A:G,"",0,1)</f>
        <v>ASCRIPT_B049_5K_DES_1</v>
      </c>
      <c r="B167" t="str">
        <v>fertig</v>
      </c>
      <c r="C167">
        <v>45909</v>
      </c>
      <c r="D167">
        <v>0.57527777777778</v>
      </c>
      <c r="E167" t="str">
        <v>9404738</v>
      </c>
      <c r="F167" t="str">
        <v>X</v>
      </c>
      <c r="G167" t="str">
        <v>B049</v>
      </c>
    </row>
    <row r="168" spans="1:7" x14ac:dyDescent="0.25">
      <c r="A168" t="str" cm="1">
        <f t="array" ref="A168:G168">_xlfn.XLOOKUP(List1!G61,erlaubt!A:A,List1!A:G,"",0,1)</f>
        <v>ASCRIPT_B049_5K_DES_1</v>
      </c>
      <c r="B168" t="str">
        <v>fertig</v>
      </c>
      <c r="C168">
        <v>45909</v>
      </c>
      <c r="D168">
        <v>0.57527777777778</v>
      </c>
      <c r="E168" t="str">
        <v>9404738</v>
      </c>
      <c r="F168" t="str">
        <v>X</v>
      </c>
      <c r="G168" t="str">
        <v>B049</v>
      </c>
    </row>
    <row r="169" spans="1:7" x14ac:dyDescent="0.25">
      <c r="A169" t="str" cm="1">
        <f t="array" ref="A169:G169">_xlfn.XLOOKUP(List1!G62,erlaubt!A:A,List1!A:G,"",0,1)</f>
        <v>ASCRIPT_B049_5K_DES_1</v>
      </c>
      <c r="B169" t="str">
        <v>fertig</v>
      </c>
      <c r="C169">
        <v>45909</v>
      </c>
      <c r="D169">
        <v>0.57527777777778</v>
      </c>
      <c r="E169" t="str">
        <v>9404738</v>
      </c>
      <c r="F169" t="str">
        <v>X</v>
      </c>
      <c r="G169" t="str">
        <v>B049</v>
      </c>
    </row>
    <row r="170" spans="1:7" x14ac:dyDescent="0.25">
      <c r="A170" t="str" cm="1">
        <f t="array" ref="A170:G170">_xlfn.XLOOKUP(List1!G63,erlaubt!A:A,List1!A:G,"",0,1)</f>
        <v>ASCRIPT_B049_5K_DES_1</v>
      </c>
      <c r="B170" t="str">
        <v>fertig</v>
      </c>
      <c r="C170">
        <v>45909</v>
      </c>
      <c r="D170">
        <v>0.57527777777778</v>
      </c>
      <c r="E170" t="str">
        <v>9404738</v>
      </c>
      <c r="F170" t="str">
        <v>X</v>
      </c>
      <c r="G170" t="str">
        <v>B049</v>
      </c>
    </row>
    <row r="171" spans="1:7" x14ac:dyDescent="0.25">
      <c r="A171" t="str" cm="1">
        <f t="array" ref="A171:G171">_xlfn.XLOOKUP(List1!G64,erlaubt!A:A,List1!A:G,"",0,1)</f>
        <v>ASCRIPT_B049_5K_DES_1</v>
      </c>
      <c r="B171" t="str">
        <v>fertig</v>
      </c>
      <c r="C171">
        <v>45909</v>
      </c>
      <c r="D171">
        <v>0.57527777777778</v>
      </c>
      <c r="E171" t="str">
        <v>9404738</v>
      </c>
      <c r="F171" t="str">
        <v>X</v>
      </c>
      <c r="G171" t="str">
        <v>B049</v>
      </c>
    </row>
    <row r="172" spans="1:7" x14ac:dyDescent="0.25">
      <c r="A172" t="str" cm="1">
        <f t="array" ref="A172:G172">_xlfn.XLOOKUP(List1!G65,erlaubt!A:A,List1!A:G,"",0,1)</f>
        <v>ASCRIPT_B049_5K_DES_1</v>
      </c>
      <c r="B172" t="str">
        <v>fertig</v>
      </c>
      <c r="C172">
        <v>45909</v>
      </c>
      <c r="D172">
        <v>0.57527777777778</v>
      </c>
      <c r="E172" t="str">
        <v>9404738</v>
      </c>
      <c r="F172" t="str">
        <v>X</v>
      </c>
      <c r="G172" t="str">
        <v>B049</v>
      </c>
    </row>
    <row r="173" spans="1:7" x14ac:dyDescent="0.25">
      <c r="A173" t="str" cm="1">
        <f t="array" ref="A173:G173">_xlfn.XLOOKUP(List1!G66,erlaubt!A:A,List1!A:G,"",0,1)</f>
        <v>ASCRIPT_B049_5K_DES_1</v>
      </c>
      <c r="B173" t="str">
        <v>fertig</v>
      </c>
      <c r="C173">
        <v>45909</v>
      </c>
      <c r="D173">
        <v>0.57527777777778</v>
      </c>
      <c r="E173" t="str">
        <v>9404738</v>
      </c>
      <c r="F173" t="str">
        <v>X</v>
      </c>
      <c r="G173" t="str">
        <v>B049</v>
      </c>
    </row>
    <row r="174" spans="1:7" x14ac:dyDescent="0.25">
      <c r="A174" t="str" cm="1">
        <f t="array" ref="A174:G174">_xlfn.XLOOKUP(List1!G67,erlaubt!A:A,List1!A:G,"",0,1)</f>
        <v>ASCRIPT_B049_5K_DES_1</v>
      </c>
      <c r="B174" t="str">
        <v>fertig</v>
      </c>
      <c r="C174">
        <v>45909</v>
      </c>
      <c r="D174">
        <v>0.57527777777778</v>
      </c>
      <c r="E174" t="str">
        <v>9404738</v>
      </c>
      <c r="F174" t="str">
        <v>X</v>
      </c>
      <c r="G174" t="str">
        <v>B049</v>
      </c>
    </row>
    <row r="175" spans="1:7" x14ac:dyDescent="0.25">
      <c r="A175" t="str" cm="1">
        <f t="array" ref="A175:G175">_xlfn.XLOOKUP(List1!G68,erlaubt!A:A,List1!A:G,"",0,1)</f>
        <v>ASCRIPT_B049_5K_DES_1</v>
      </c>
      <c r="B175" t="str">
        <v>fertig</v>
      </c>
      <c r="C175">
        <v>45909</v>
      </c>
      <c r="D175">
        <v>0.57527777777778</v>
      </c>
      <c r="E175" t="str">
        <v>9404738</v>
      </c>
      <c r="F175" t="str">
        <v>X</v>
      </c>
      <c r="G175" t="str">
        <v>B049</v>
      </c>
    </row>
    <row r="176" spans="1:7" x14ac:dyDescent="0.25">
      <c r="A176" t="str" cm="1">
        <f t="array" ref="A176:G176">_xlfn.XLOOKUP(List1!G69,erlaubt!A:A,List1!A:G,"",0,1)</f>
        <v>ASCRIPT_B049_5K_DES_1</v>
      </c>
      <c r="B176" t="str">
        <v>fertig</v>
      </c>
      <c r="C176">
        <v>45909</v>
      </c>
      <c r="D176">
        <v>0.57527777777778</v>
      </c>
      <c r="E176" t="str">
        <v>9404738</v>
      </c>
      <c r="F176" t="str">
        <v>X</v>
      </c>
      <c r="G176" t="str">
        <v>B049</v>
      </c>
    </row>
    <row r="177" spans="1:7" x14ac:dyDescent="0.25">
      <c r="A177" t="str" cm="1">
        <f t="array" ref="A177:G177">_xlfn.XLOOKUP(List1!G70,erlaubt!A:A,List1!A:G,"",0,1)</f>
        <v>ASCRIPT_B049_5K_DES_1</v>
      </c>
      <c r="B177" t="str">
        <v>fertig</v>
      </c>
      <c r="C177">
        <v>45909</v>
      </c>
      <c r="D177">
        <v>0.57527777777778</v>
      </c>
      <c r="E177" t="str">
        <v>9404738</v>
      </c>
      <c r="F177" t="str">
        <v>X</v>
      </c>
      <c r="G177" t="str">
        <v>B049</v>
      </c>
    </row>
    <row r="178" spans="1:7" x14ac:dyDescent="0.25">
      <c r="A178" t="str" cm="1">
        <f t="array" ref="A178:G178">_xlfn.XLOOKUP(List1!G71,erlaubt!A:A,List1!A:G,"",0,1)</f>
        <v>ASCRIPT_B049_5K_DES_1</v>
      </c>
      <c r="B178" t="str">
        <v>fertig</v>
      </c>
      <c r="C178">
        <v>45909</v>
      </c>
      <c r="D178">
        <v>0.57527777777778</v>
      </c>
      <c r="E178" t="str">
        <v>9404738</v>
      </c>
      <c r="F178" t="str">
        <v>X</v>
      </c>
      <c r="G178" t="str">
        <v>B049</v>
      </c>
    </row>
    <row r="179" spans="1:7" x14ac:dyDescent="0.25">
      <c r="A179" t="str" cm="1">
        <f t="array" ref="A179:G179">_xlfn.XLOOKUP(List1!G72,erlaubt!A:A,List1!A:G,"",0,1)</f>
        <v>ASCRIPT_B049_5K_DES_1</v>
      </c>
      <c r="B179" t="str">
        <v>fertig</v>
      </c>
      <c r="C179">
        <v>45909</v>
      </c>
      <c r="D179">
        <v>0.57527777777778</v>
      </c>
      <c r="E179" t="str">
        <v>9404738</v>
      </c>
      <c r="F179" t="str">
        <v>X</v>
      </c>
      <c r="G179" t="str">
        <v>B049</v>
      </c>
    </row>
    <row r="180" spans="1:7" x14ac:dyDescent="0.25">
      <c r="A180" t="str" cm="1">
        <f t="array" ref="A180:G180">_xlfn.XLOOKUP(List1!G73,erlaubt!A:A,List1!A:G,"",0,1)</f>
        <v>ASCRIPT_B049_5K_DES_1</v>
      </c>
      <c r="B180" t="str">
        <v>fertig</v>
      </c>
      <c r="C180">
        <v>45909</v>
      </c>
      <c r="D180">
        <v>0.57527777777778</v>
      </c>
      <c r="E180" t="str">
        <v>9404738</v>
      </c>
      <c r="F180" t="str">
        <v>X</v>
      </c>
      <c r="G180" t="str">
        <v>B049</v>
      </c>
    </row>
    <row r="181" spans="1:7" x14ac:dyDescent="0.25">
      <c r="A181" t="str" cm="1">
        <f t="array" ref="A181:G181">_xlfn.XLOOKUP(List1!G74,erlaubt!A:A,List1!A:G,"",0,1)</f>
        <v>ASCRIPT_B049_5K_DES_1</v>
      </c>
      <c r="B181" t="str">
        <v>fertig</v>
      </c>
      <c r="C181">
        <v>45909</v>
      </c>
      <c r="D181">
        <v>0.57527777777778</v>
      </c>
      <c r="E181" t="str">
        <v>9404738</v>
      </c>
      <c r="F181" t="str">
        <v>X</v>
      </c>
      <c r="G181" t="str">
        <v>B049</v>
      </c>
    </row>
    <row r="182" spans="1:7" x14ac:dyDescent="0.25">
      <c r="A182" t="str" cm="1">
        <f t="array" ref="A182:G182">_xlfn.XLOOKUP(List1!G75,erlaubt!A:A,List1!A:G,"",0,1)</f>
        <v>ASCRIPT_B049_5K_DES_1</v>
      </c>
      <c r="B182" t="str">
        <v>fertig</v>
      </c>
      <c r="C182">
        <v>45909</v>
      </c>
      <c r="D182">
        <v>0.57527777777778</v>
      </c>
      <c r="E182" t="str">
        <v>9404738</v>
      </c>
      <c r="F182" t="str">
        <v>X</v>
      </c>
      <c r="G182" t="str">
        <v>B049</v>
      </c>
    </row>
    <row r="183" spans="1:7" x14ac:dyDescent="0.25">
      <c r="A183" t="str" cm="1">
        <f t="array" ref="A183:G183">_xlfn.XLOOKUP(List1!G76,erlaubt!A:A,List1!A:G,"",0,1)</f>
        <v>ASCRIPT_B049_5K_DES_1</v>
      </c>
      <c r="B183" t="str">
        <v>fertig</v>
      </c>
      <c r="C183">
        <v>45909</v>
      </c>
      <c r="D183">
        <v>0.57527777777778</v>
      </c>
      <c r="E183" t="str">
        <v>9404738</v>
      </c>
      <c r="F183" t="str">
        <v>X</v>
      </c>
      <c r="G183" t="str">
        <v>B049</v>
      </c>
    </row>
    <row r="184" spans="1:7" x14ac:dyDescent="0.25">
      <c r="A184" t="str" cm="1">
        <f t="array" ref="A184:G184">_xlfn.XLOOKUP(List1!G77,erlaubt!A:A,List1!A:G,"",0,1)</f>
        <v>ASCRIPT_B049_5K_DES_1</v>
      </c>
      <c r="B184" t="str">
        <v>fertig</v>
      </c>
      <c r="C184">
        <v>45909</v>
      </c>
      <c r="D184">
        <v>0.57527777777778</v>
      </c>
      <c r="E184" t="str">
        <v>9404738</v>
      </c>
      <c r="F184" t="str">
        <v>X</v>
      </c>
      <c r="G184" t="str">
        <v>B049</v>
      </c>
    </row>
    <row r="185" spans="1:7" x14ac:dyDescent="0.25">
      <c r="A185" t="str" cm="1">
        <f t="array" ref="A185:G185">_xlfn.XLOOKUP(List1!G78,erlaubt!A:A,List1!A:G,"",0,1)</f>
        <v>ASCRIPT_B049_5K_DES_1</v>
      </c>
      <c r="B185" t="str">
        <v>fertig</v>
      </c>
      <c r="C185">
        <v>45909</v>
      </c>
      <c r="D185">
        <v>0.57527777777778</v>
      </c>
      <c r="E185" t="str">
        <v>9404738</v>
      </c>
      <c r="F185" t="str">
        <v>X</v>
      </c>
      <c r="G185" t="str">
        <v>B049</v>
      </c>
    </row>
    <row r="186" spans="1:7" x14ac:dyDescent="0.25">
      <c r="A186" t="str" cm="1">
        <f t="array" ref="A186:G186">_xlfn.XLOOKUP(List1!G79,erlaubt!A:A,List1!A:G,"",0,1)</f>
        <v>ASCRIPT_B049_5K_DES_1</v>
      </c>
      <c r="B186" t="str">
        <v>fertig</v>
      </c>
      <c r="C186">
        <v>45909</v>
      </c>
      <c r="D186">
        <v>0.57527777777778</v>
      </c>
      <c r="E186" t="str">
        <v>9404738</v>
      </c>
      <c r="F186" t="str">
        <v>X</v>
      </c>
      <c r="G186" t="str">
        <v>B049</v>
      </c>
    </row>
    <row r="187" spans="1:7" x14ac:dyDescent="0.25">
      <c r="A187" t="str" cm="1">
        <f t="array" ref="A187:G187">_xlfn.XLOOKUP(List1!G80,erlaubt!A:A,List1!A:G,"",0,1)</f>
        <v>ASCRIPT_B049_5K_DES_1</v>
      </c>
      <c r="B187" t="str">
        <v>fertig</v>
      </c>
      <c r="C187">
        <v>45909</v>
      </c>
      <c r="D187">
        <v>0.57527777777778</v>
      </c>
      <c r="E187" t="str">
        <v>9404738</v>
      </c>
      <c r="F187" t="str">
        <v>X</v>
      </c>
      <c r="G187" t="str">
        <v>B049</v>
      </c>
    </row>
    <row r="188" spans="1:7" x14ac:dyDescent="0.25">
      <c r="A188" t="str" cm="1">
        <f t="array" ref="A188:G188">_xlfn.XLOOKUP(List1!G81,erlaubt!A:A,List1!A:G,"",0,1)</f>
        <v>ASCRIPT_B049_5K_DES_1</v>
      </c>
      <c r="B188" t="str">
        <v>fertig</v>
      </c>
      <c r="C188">
        <v>45909</v>
      </c>
      <c r="D188">
        <v>0.57527777777778</v>
      </c>
      <c r="E188" t="str">
        <v>9404738</v>
      </c>
      <c r="F188" t="str">
        <v>X</v>
      </c>
      <c r="G188" t="str">
        <v>B049</v>
      </c>
    </row>
    <row r="189" spans="1:7" x14ac:dyDescent="0.25">
      <c r="A189" t="str" cm="1">
        <f t="array" ref="A189:G189">_xlfn.XLOOKUP(List1!G82,erlaubt!A:A,List1!A:G,"",0,1)</f>
        <v>ASCRIPT_B049_5K_DES_1</v>
      </c>
      <c r="B189" t="str">
        <v>fertig</v>
      </c>
      <c r="C189">
        <v>45909</v>
      </c>
      <c r="D189">
        <v>0.57527777777778</v>
      </c>
      <c r="E189" t="str">
        <v>9404738</v>
      </c>
      <c r="F189" t="str">
        <v>X</v>
      </c>
      <c r="G189" t="str">
        <v>B049</v>
      </c>
    </row>
    <row r="190" spans="1:7" x14ac:dyDescent="0.25">
      <c r="A190" t="str" cm="1">
        <f t="array" ref="A190:G190">_xlfn.XLOOKUP(List1!G83,erlaubt!A:A,List1!A:G,"",0,1)</f>
        <v>ASCRIPT_B049_5K_DES_1</v>
      </c>
      <c r="B190" t="str">
        <v>fertig</v>
      </c>
      <c r="C190">
        <v>45909</v>
      </c>
      <c r="D190">
        <v>0.57527777777778</v>
      </c>
      <c r="E190" t="str">
        <v>9404738</v>
      </c>
      <c r="F190" t="str">
        <v>X</v>
      </c>
      <c r="G190" t="str">
        <v>B049</v>
      </c>
    </row>
    <row r="191" spans="1:7" x14ac:dyDescent="0.25">
      <c r="A191" t="str" cm="1">
        <f t="array" ref="A191:G191">_xlfn.XLOOKUP(List1!G84,erlaubt!A:A,List1!A:G,"",0,1)</f>
        <v>ASCRIPT_B049_5K_DES_1</v>
      </c>
      <c r="B191" t="str">
        <v>fertig</v>
      </c>
      <c r="C191">
        <v>45909</v>
      </c>
      <c r="D191">
        <v>0.57527777777778</v>
      </c>
      <c r="E191" t="str">
        <v>9404738</v>
      </c>
      <c r="F191" t="str">
        <v>X</v>
      </c>
      <c r="G191" t="str">
        <v>B049</v>
      </c>
    </row>
    <row r="192" spans="1:7" x14ac:dyDescent="0.25">
      <c r="A192" t="str" cm="1">
        <f t="array" ref="A192:G192">_xlfn.XLOOKUP(List1!G85,erlaubt!A:A,List1!A:G,"",0,1)</f>
        <v>ASCRIPT_B049_5K_DES_1</v>
      </c>
      <c r="B192" t="str">
        <v>fertig</v>
      </c>
      <c r="C192">
        <v>45909</v>
      </c>
      <c r="D192">
        <v>0.57527777777778</v>
      </c>
      <c r="E192" t="str">
        <v>9404738</v>
      </c>
      <c r="F192" t="str">
        <v>X</v>
      </c>
      <c r="G192" t="str">
        <v>B049</v>
      </c>
    </row>
    <row r="193" spans="1:7" x14ac:dyDescent="0.25">
      <c r="A193" t="str" cm="1">
        <f t="array" ref="A193:G193">_xlfn.XLOOKUP(List1!G86,erlaubt!A:A,List1!A:G,"",0,1)</f>
        <v>ASCRIPT_B049_5K_DES_1</v>
      </c>
      <c r="B193" t="str">
        <v>fertig</v>
      </c>
      <c r="C193">
        <v>45909</v>
      </c>
      <c r="D193">
        <v>0.57527777777778</v>
      </c>
      <c r="E193" t="str">
        <v>9404738</v>
      </c>
      <c r="F193" t="str">
        <v>X</v>
      </c>
      <c r="G193" t="str">
        <v>B049</v>
      </c>
    </row>
    <row r="194" spans="1:7" x14ac:dyDescent="0.25">
      <c r="A194" t="str" cm="1">
        <f t="array" ref="A194:G194">_xlfn.XLOOKUP(List1!G87,erlaubt!A:A,List1!A:G,"",0,1)</f>
        <v>ASCRIPT_B049_5K_DES_1</v>
      </c>
      <c r="B194" t="str">
        <v>fertig</v>
      </c>
      <c r="C194">
        <v>45909</v>
      </c>
      <c r="D194">
        <v>0.57527777777778</v>
      </c>
      <c r="E194" t="str">
        <v>9404738</v>
      </c>
      <c r="F194" t="str">
        <v>X</v>
      </c>
      <c r="G194" t="str">
        <v>B049</v>
      </c>
    </row>
    <row r="195" spans="1:7" x14ac:dyDescent="0.25">
      <c r="A195" t="str" cm="1">
        <f t="array" ref="A195:G195">_xlfn.XLOOKUP(List1!G88,erlaubt!A:A,List1!A:G,"",0,1)</f>
        <v>ASCRIPT_B049_5K_DES_1</v>
      </c>
      <c r="B195" t="str">
        <v>fertig</v>
      </c>
      <c r="C195">
        <v>45909</v>
      </c>
      <c r="D195">
        <v>0.57527777777778</v>
      </c>
      <c r="E195" t="str">
        <v>9404738</v>
      </c>
      <c r="F195" t="str">
        <v>X</v>
      </c>
      <c r="G195" t="str">
        <v>B049</v>
      </c>
    </row>
    <row r="196" spans="1:7" x14ac:dyDescent="0.25">
      <c r="A196" t="str" cm="1">
        <f t="array" ref="A196:G196">_xlfn.XLOOKUP(List1!G89,erlaubt!A:A,List1!A:G,"",0,1)</f>
        <v>ASCRIPT_B049_5K_DES_1</v>
      </c>
      <c r="B196" t="str">
        <v>fertig</v>
      </c>
      <c r="C196">
        <v>45909</v>
      </c>
      <c r="D196">
        <v>0.57527777777778</v>
      </c>
      <c r="E196" t="str">
        <v>9404738</v>
      </c>
      <c r="F196" t="str">
        <v>X</v>
      </c>
      <c r="G196" t="str">
        <v>B049</v>
      </c>
    </row>
    <row r="197" spans="1:7" x14ac:dyDescent="0.25">
      <c r="A197" t="str" cm="1">
        <f t="array" ref="A197:G197">_xlfn.XLOOKUP(List1!G90,erlaubt!A:A,List1!A:G,"",0,1)</f>
        <v>ASCRIPT_B049_5K_DES_1</v>
      </c>
      <c r="B197" t="str">
        <v>fertig</v>
      </c>
      <c r="C197">
        <v>45909</v>
      </c>
      <c r="D197">
        <v>0.57527777777778</v>
      </c>
      <c r="E197" t="str">
        <v>9404738</v>
      </c>
      <c r="F197" t="str">
        <v>X</v>
      </c>
      <c r="G197" t="str">
        <v>B049</v>
      </c>
    </row>
    <row r="198" spans="1:7" x14ac:dyDescent="0.25">
      <c r="A198" t="str" cm="1">
        <f t="array" ref="A198:G198">_xlfn.XLOOKUP(List1!G91,erlaubt!A:A,List1!A:G,"",0,1)</f>
        <v>ASCRIPT_B049_5K_DES_1</v>
      </c>
      <c r="B198" t="str">
        <v>fertig</v>
      </c>
      <c r="C198">
        <v>45909</v>
      </c>
      <c r="D198">
        <v>0.57527777777778</v>
      </c>
      <c r="E198" t="str">
        <v>9404738</v>
      </c>
      <c r="F198" t="str">
        <v>X</v>
      </c>
      <c r="G198" t="str">
        <v>B049</v>
      </c>
    </row>
    <row r="199" spans="1:7" x14ac:dyDescent="0.25">
      <c r="A199" t="str" cm="1">
        <f t="array" ref="A199:G199">_xlfn.XLOOKUP(List1!G92,erlaubt!A:A,List1!A:G,"",0,1)</f>
        <v>ASCRIPT_B049_5K_DES_1</v>
      </c>
      <c r="B199" t="str">
        <v>fertig</v>
      </c>
      <c r="C199">
        <v>45909</v>
      </c>
      <c r="D199">
        <v>0.57527777777778</v>
      </c>
      <c r="E199" t="str">
        <v>9404738</v>
      </c>
      <c r="F199" t="str">
        <v>X</v>
      </c>
      <c r="G199" t="str">
        <v>B049</v>
      </c>
    </row>
    <row r="200" spans="1:7" x14ac:dyDescent="0.25">
      <c r="A200" t="str" cm="1">
        <f t="array" ref="A200:G200">_xlfn.XLOOKUP(List1!G93,erlaubt!A:A,List1!A:G,"",0,1)</f>
        <v>ASCRIPT_B049_5K_DES_1</v>
      </c>
      <c r="B200" t="str">
        <v>fertig</v>
      </c>
      <c r="C200">
        <v>45909</v>
      </c>
      <c r="D200">
        <v>0.57527777777778</v>
      </c>
      <c r="E200" t="str">
        <v>9404738</v>
      </c>
      <c r="F200" t="str">
        <v>X</v>
      </c>
      <c r="G200" t="str">
        <v>B049</v>
      </c>
    </row>
    <row r="201" spans="1:7" x14ac:dyDescent="0.25">
      <c r="A201" t="str" cm="1">
        <f t="array" ref="A201:G201">_xlfn.XLOOKUP(List1!G94,erlaubt!A:A,List1!A:G,"",0,1)</f>
        <v>ASCRIPT_B049_5K_DES_1</v>
      </c>
      <c r="B201" t="str">
        <v>fertig</v>
      </c>
      <c r="C201">
        <v>45909</v>
      </c>
      <c r="D201">
        <v>0.57527777777778</v>
      </c>
      <c r="E201" t="str">
        <v>9404738</v>
      </c>
      <c r="F201" t="str">
        <v>X</v>
      </c>
      <c r="G201" t="str">
        <v>B049</v>
      </c>
    </row>
    <row r="202" spans="1:7" x14ac:dyDescent="0.25">
      <c r="A202" t="str" cm="1">
        <f t="array" ref="A202:G202">_xlfn.XLOOKUP(List1!G95,erlaubt!A:A,List1!A:G,"",0,1)</f>
        <v>ASCRIPT_B049_5K_DES_1</v>
      </c>
      <c r="B202" t="str">
        <v>fertig</v>
      </c>
      <c r="C202">
        <v>45909</v>
      </c>
      <c r="D202">
        <v>0.57527777777778</v>
      </c>
      <c r="E202" t="str">
        <v>9404738</v>
      </c>
      <c r="F202" t="str">
        <v>X</v>
      </c>
      <c r="G202" t="str">
        <v>B049</v>
      </c>
    </row>
    <row r="203" spans="1:7" x14ac:dyDescent="0.25">
      <c r="A203" t="str" cm="1">
        <f t="array" ref="A203:G203">_xlfn.XLOOKUP(List1!G96,erlaubt!A:A,List1!A:G,"",0,1)</f>
        <v>ASCRIPT_B049_5K_DES_1</v>
      </c>
      <c r="B203" t="str">
        <v>fertig</v>
      </c>
      <c r="C203">
        <v>45909</v>
      </c>
      <c r="D203">
        <v>0.57527777777778</v>
      </c>
      <c r="E203" t="str">
        <v>9404738</v>
      </c>
      <c r="F203" t="str">
        <v>X</v>
      </c>
      <c r="G203" t="str">
        <v>B049</v>
      </c>
    </row>
    <row r="204" spans="1:7" x14ac:dyDescent="0.25">
      <c r="A204" t="str" cm="1">
        <f t="array" ref="A204:G204">_xlfn.XLOOKUP(List1!G97,erlaubt!A:A,List1!A:G,"",0,1)</f>
        <v>ASCRIPT_B049_5K_DES_1</v>
      </c>
      <c r="B204" t="str">
        <v>fertig</v>
      </c>
      <c r="C204">
        <v>45909</v>
      </c>
      <c r="D204">
        <v>0.57527777777778</v>
      </c>
      <c r="E204" t="str">
        <v>9404738</v>
      </c>
      <c r="F204" t="str">
        <v>X</v>
      </c>
      <c r="G204" t="str">
        <v>B049</v>
      </c>
    </row>
    <row r="205" spans="1:7" x14ac:dyDescent="0.25">
      <c r="A205" t="str" cm="1">
        <f t="array" ref="A205:G205">_xlfn.XLOOKUP(List1!G98,erlaubt!A:A,List1!A:G,"",0,1)</f>
        <v>ASCRIPT_B049_5K_DES_1</v>
      </c>
      <c r="B205" t="str">
        <v>fertig</v>
      </c>
      <c r="C205">
        <v>45909</v>
      </c>
      <c r="D205">
        <v>0.57527777777778</v>
      </c>
      <c r="E205" t="str">
        <v>9404738</v>
      </c>
      <c r="F205" t="str">
        <v>X</v>
      </c>
      <c r="G205" t="str">
        <v>B049</v>
      </c>
    </row>
    <row r="206" spans="1:7" x14ac:dyDescent="0.25">
      <c r="A206" t="str" cm="1">
        <f t="array" ref="A206:G206">_xlfn.XLOOKUP(List1!G99,erlaubt!A:A,List1!A:G,"",0,1)</f>
        <v>ASCRIPT_B049_5K_DES_1</v>
      </c>
      <c r="B206" t="str">
        <v>fertig</v>
      </c>
      <c r="C206">
        <v>45909</v>
      </c>
      <c r="D206">
        <v>0.57527777777778</v>
      </c>
      <c r="E206" t="str">
        <v>9404738</v>
      </c>
      <c r="F206" t="str">
        <v>X</v>
      </c>
      <c r="G206" t="str">
        <v>B049</v>
      </c>
    </row>
    <row r="207" spans="1:7" x14ac:dyDescent="0.25">
      <c r="A207" t="str" cm="1">
        <f t="array" ref="A207:G207">_xlfn.XLOOKUP(List1!G100,erlaubt!A:A,List1!A:G,"",0,1)</f>
        <v>ASCRIPT_B049_5K_DES_1</v>
      </c>
      <c r="B207" t="str">
        <v>fertig</v>
      </c>
      <c r="C207">
        <v>45909</v>
      </c>
      <c r="D207">
        <v>0.57527777777778</v>
      </c>
      <c r="E207" t="str">
        <v>9404738</v>
      </c>
      <c r="F207" t="str">
        <v>X</v>
      </c>
      <c r="G207" t="str">
        <v>B049</v>
      </c>
    </row>
    <row r="208" spans="1:7" x14ac:dyDescent="0.25">
      <c r="A208" t="str" cm="1">
        <f t="array" ref="A208:G208">_xlfn.XLOOKUP(List1!G101,erlaubt!A:A,List1!A:G,"",0,1)</f>
        <v>ASCRIPT_B049_5K_DES_1</v>
      </c>
      <c r="B208" t="str">
        <v>fertig</v>
      </c>
      <c r="C208">
        <v>45909</v>
      </c>
      <c r="D208">
        <v>0.57527777777778</v>
      </c>
      <c r="E208" t="str">
        <v>9404738</v>
      </c>
      <c r="F208" t="str">
        <v>X</v>
      </c>
      <c r="G208" t="str">
        <v>B049</v>
      </c>
    </row>
    <row r="209" spans="1:7" x14ac:dyDescent="0.25">
      <c r="A209" t="str" cm="1">
        <f t="array" ref="A209:G209">_xlfn.XLOOKUP(List1!G102,erlaubt!A:A,List1!A:G,"",0,1)</f>
        <v>ASCRIPT_B049_5K_DES_1</v>
      </c>
      <c r="B209" t="str">
        <v>fertig</v>
      </c>
      <c r="C209">
        <v>45909</v>
      </c>
      <c r="D209">
        <v>0.57527777777778</v>
      </c>
      <c r="E209" t="str">
        <v>9404738</v>
      </c>
      <c r="F209" t="str">
        <v>X</v>
      </c>
      <c r="G209" t="str">
        <v>B049</v>
      </c>
    </row>
    <row r="210" spans="1:7" x14ac:dyDescent="0.25">
      <c r="A210" t="str" cm="1">
        <f t="array" ref="A210:G210">_xlfn.XLOOKUP(List1!G103,erlaubt!A:A,List1!A:G,"",0,1)</f>
        <v>ASCRIPT_B049_5K_DES_1</v>
      </c>
      <c r="B210" t="str">
        <v>fertig</v>
      </c>
      <c r="C210">
        <v>45909</v>
      </c>
      <c r="D210">
        <v>0.57527777777778</v>
      </c>
      <c r="E210" t="str">
        <v>9404738</v>
      </c>
      <c r="F210" t="str">
        <v>X</v>
      </c>
      <c r="G210" t="str">
        <v>B049</v>
      </c>
    </row>
    <row r="211" spans="1:7" x14ac:dyDescent="0.25">
      <c r="A211" t="str" cm="1">
        <f t="array" ref="A211:G211">_xlfn.XLOOKUP(List1!G104,erlaubt!A:A,List1!A:G,"",0,1)</f>
        <v>ASCRIPT_B049_5K_DES_1</v>
      </c>
      <c r="B211" t="str">
        <v>fertig</v>
      </c>
      <c r="C211">
        <v>45909</v>
      </c>
      <c r="D211">
        <v>0.57527777777778</v>
      </c>
      <c r="E211" t="str">
        <v>9404738</v>
      </c>
      <c r="F211" t="str">
        <v>X</v>
      </c>
      <c r="G211" t="str">
        <v>B049</v>
      </c>
    </row>
    <row r="212" spans="1:7" x14ac:dyDescent="0.25">
      <c r="A212" t="str" cm="1">
        <f t="array" ref="A212:G212">_xlfn.XLOOKUP(List1!G105,erlaubt!A:A,List1!A:G,"",0,1)</f>
        <v>ASCRIPT_B049_5K_DES_1</v>
      </c>
      <c r="B212" t="str">
        <v>fertig</v>
      </c>
      <c r="C212">
        <v>45909</v>
      </c>
      <c r="D212">
        <v>0.57527777777778</v>
      </c>
      <c r="E212" t="str">
        <v>9404738</v>
      </c>
      <c r="F212" t="str">
        <v>X</v>
      </c>
      <c r="G212" t="str">
        <v>B049</v>
      </c>
    </row>
    <row r="213" spans="1:7" x14ac:dyDescent="0.25">
      <c r="A213" t="str" cm="1">
        <f t="array" ref="A213:G213">_xlfn.XLOOKUP(List1!G106,erlaubt!A:A,List1!A:G,"",0,1)</f>
        <v>ASCRIPT_B049_5K_DES_1</v>
      </c>
      <c r="B213" t="str">
        <v>fertig</v>
      </c>
      <c r="C213">
        <v>45909</v>
      </c>
      <c r="D213">
        <v>0.57527777777778</v>
      </c>
      <c r="E213" t="str">
        <v>9404738</v>
      </c>
      <c r="F213" t="str">
        <v>X</v>
      </c>
      <c r="G213" t="str">
        <v>B049</v>
      </c>
    </row>
    <row r="214" spans="1:7" x14ac:dyDescent="0.25">
      <c r="A214" t="str" cm="1">
        <f t="array" ref="A214:G214">_xlfn.XLOOKUP(List1!G107,erlaubt!A:A,List1!A:G,"",0,1)</f>
        <v>ASCRIPT_B049_5K_DES_1</v>
      </c>
      <c r="B214" t="str">
        <v>fertig</v>
      </c>
      <c r="C214">
        <v>45909</v>
      </c>
      <c r="D214">
        <v>0.57527777777778</v>
      </c>
      <c r="E214" t="str">
        <v>9404738</v>
      </c>
      <c r="F214" t="str">
        <v>X</v>
      </c>
      <c r="G214" t="str">
        <v>B049</v>
      </c>
    </row>
    <row r="215" spans="1:7" x14ac:dyDescent="0.25">
      <c r="A215" t="str" cm="1">
        <f t="array" ref="A215:G215">_xlfn.XLOOKUP(List1!G108,erlaubt!A:A,List1!A:G,"",0,1)</f>
        <v>ASCRIPT_B049_5K_DES_1</v>
      </c>
      <c r="B215" t="str">
        <v>fertig</v>
      </c>
      <c r="C215">
        <v>45909</v>
      </c>
      <c r="D215">
        <v>0.57527777777778</v>
      </c>
      <c r="E215" t="str">
        <v>9404738</v>
      </c>
      <c r="F215" t="str">
        <v>X</v>
      </c>
      <c r="G215" t="str">
        <v>B049</v>
      </c>
    </row>
    <row r="216" spans="1:7" x14ac:dyDescent="0.25">
      <c r="A216" t="str" cm="1">
        <f t="array" ref="A216:G216">_xlfn.XLOOKUP(List1!G109,erlaubt!A:A,List1!A:G,"",0,1)</f>
        <v>ASCRIPT_B049_5K_DES_1</v>
      </c>
      <c r="B216" t="str">
        <v>fertig</v>
      </c>
      <c r="C216">
        <v>45909</v>
      </c>
      <c r="D216">
        <v>0.57527777777778</v>
      </c>
      <c r="E216" t="str">
        <v>9404738</v>
      </c>
      <c r="F216" t="str">
        <v>X</v>
      </c>
      <c r="G216" t="str">
        <v>B049</v>
      </c>
    </row>
    <row r="217" spans="1:7" x14ac:dyDescent="0.25">
      <c r="A217" t="str" cm="1">
        <f t="array" ref="A217:G217">_xlfn.XLOOKUP(List1!G110,erlaubt!A:A,List1!A:G,"",0,1)</f>
        <v>ASCRIPT_B049_5K_DES_1</v>
      </c>
      <c r="B217" t="str">
        <v>fertig</v>
      </c>
      <c r="C217">
        <v>45909</v>
      </c>
      <c r="D217">
        <v>0.57527777777778</v>
      </c>
      <c r="E217" t="str">
        <v>9404738</v>
      </c>
      <c r="F217" t="str">
        <v>X</v>
      </c>
      <c r="G217" t="str">
        <v>B049</v>
      </c>
    </row>
    <row r="218" spans="1:7" x14ac:dyDescent="0.25">
      <c r="A218" t="str" cm="1">
        <f t="array" ref="A218:G218">_xlfn.XLOOKUP(List1!G111,erlaubt!A:A,List1!A:G,"",0,1)</f>
        <v>ASCRIPT_B049_5K_DES_1</v>
      </c>
      <c r="B218" t="str">
        <v>fertig</v>
      </c>
      <c r="C218">
        <v>45909</v>
      </c>
      <c r="D218">
        <v>0.57527777777778</v>
      </c>
      <c r="E218" t="str">
        <v>9404738</v>
      </c>
      <c r="F218" t="str">
        <v>X</v>
      </c>
      <c r="G218" t="str">
        <v>B049</v>
      </c>
    </row>
    <row r="219" spans="1:7" x14ac:dyDescent="0.25">
      <c r="A219" t="str" cm="1">
        <f t="array" ref="A219:G219">_xlfn.XLOOKUP(List1!G112,erlaubt!A:A,List1!A:G,"",0,1)</f>
        <v>ASCRIPT_B049_5K_DES_1</v>
      </c>
      <c r="B219" t="str">
        <v>fertig</v>
      </c>
      <c r="C219">
        <v>45909</v>
      </c>
      <c r="D219">
        <v>0.57527777777778</v>
      </c>
      <c r="E219" t="str">
        <v>9404738</v>
      </c>
      <c r="F219" t="str">
        <v>X</v>
      </c>
      <c r="G219" t="str">
        <v>B049</v>
      </c>
    </row>
    <row r="220" spans="1:7" x14ac:dyDescent="0.25">
      <c r="A220" t="str" cm="1">
        <f t="array" ref="A220:G220">_xlfn.XLOOKUP(List1!G113,erlaubt!A:A,List1!A:G,"",0,1)</f>
        <v>ASCRIPT_B049_5K_DES_1</v>
      </c>
      <c r="B220" t="str">
        <v>fertig</v>
      </c>
      <c r="C220">
        <v>45909</v>
      </c>
      <c r="D220">
        <v>0.57527777777778</v>
      </c>
      <c r="E220" t="str">
        <v>9404738</v>
      </c>
      <c r="F220" t="str">
        <v>X</v>
      </c>
      <c r="G220" t="str">
        <v>B049</v>
      </c>
    </row>
    <row r="221" spans="1:7" x14ac:dyDescent="0.25">
      <c r="A221" t="str" cm="1">
        <f t="array" ref="A221:G221">_xlfn.XLOOKUP(List1!G114,erlaubt!A:A,List1!A:G,"",0,1)</f>
        <v>ASCRIPT_B049_5K_DES_1</v>
      </c>
      <c r="B221" t="str">
        <v>fertig</v>
      </c>
      <c r="C221">
        <v>45909</v>
      </c>
      <c r="D221">
        <v>0.57527777777778</v>
      </c>
      <c r="E221" t="str">
        <v>9404738</v>
      </c>
      <c r="F221" t="str">
        <v>X</v>
      </c>
      <c r="G221" t="str">
        <v>B049</v>
      </c>
    </row>
    <row r="222" spans="1:7" x14ac:dyDescent="0.25">
      <c r="A222" t="str" cm="1">
        <f t="array" ref="A222:G222">_xlfn.XLOOKUP(List1!G115,erlaubt!A:A,List1!A:G,"",0,1)</f>
        <v>ASCRIPT_B049_5K_DES_1</v>
      </c>
      <c r="B222" t="str">
        <v>fertig</v>
      </c>
      <c r="C222">
        <v>45909</v>
      </c>
      <c r="D222">
        <v>0.57527777777778</v>
      </c>
      <c r="E222" t="str">
        <v>9404738</v>
      </c>
      <c r="F222" t="str">
        <v>X</v>
      </c>
      <c r="G222" t="str">
        <v>B049</v>
      </c>
    </row>
    <row r="223" spans="1:7" x14ac:dyDescent="0.25">
      <c r="A223" t="str" cm="1">
        <f t="array" ref="A223:G223">_xlfn.XLOOKUP(List1!G116,erlaubt!A:A,List1!A:G,"",0,1)</f>
        <v>ASCRIPT_B049_5K_DES_1</v>
      </c>
      <c r="B223" t="str">
        <v>fertig</v>
      </c>
      <c r="C223">
        <v>45909</v>
      </c>
      <c r="D223">
        <v>0.57527777777778</v>
      </c>
      <c r="E223" t="str">
        <v>9404738</v>
      </c>
      <c r="F223" t="str">
        <v>X</v>
      </c>
      <c r="G223" t="str">
        <v>B049</v>
      </c>
    </row>
    <row r="224" spans="1:7" x14ac:dyDescent="0.25">
      <c r="A224" t="str" cm="1">
        <f t="array" ref="A224:G224">_xlfn.XLOOKUP(List1!G117,erlaubt!A:A,List1!A:G,"",0,1)</f>
        <v>ASCRIPT_B049_5K_DES_1</v>
      </c>
      <c r="B224" t="str">
        <v>fertig</v>
      </c>
      <c r="C224">
        <v>45909</v>
      </c>
      <c r="D224">
        <v>0.57527777777778</v>
      </c>
      <c r="E224" t="str">
        <v>9404738</v>
      </c>
      <c r="F224" t="str">
        <v>X</v>
      </c>
      <c r="G224" t="str">
        <v>B049</v>
      </c>
    </row>
    <row r="225" spans="1:7" x14ac:dyDescent="0.25">
      <c r="A225" t="str" cm="1">
        <f t="array" ref="A225:G225">_xlfn.XLOOKUP(List1!G118,erlaubt!A:A,List1!A:G,"",0,1)</f>
        <v>ASCRIPT_B049_5K_DES_1</v>
      </c>
      <c r="B225" t="str">
        <v>fertig</v>
      </c>
      <c r="C225">
        <v>45909</v>
      </c>
      <c r="D225">
        <v>0.57527777777778</v>
      </c>
      <c r="E225" t="str">
        <v>9404738</v>
      </c>
      <c r="F225" t="str">
        <v>X</v>
      </c>
      <c r="G225" t="str">
        <v>B049</v>
      </c>
    </row>
    <row r="226" spans="1:7" x14ac:dyDescent="0.25">
      <c r="A226" t="str" cm="1">
        <f t="array" ref="A226:G226">_xlfn.XLOOKUP(List1!G119,erlaubt!A:A,List1!A:G,"",0,1)</f>
        <v>ASCRIPT_B049_5K_DES_1</v>
      </c>
      <c r="B226" t="str">
        <v>fertig</v>
      </c>
      <c r="C226">
        <v>45909</v>
      </c>
      <c r="D226">
        <v>0.57527777777778</v>
      </c>
      <c r="E226" t="str">
        <v>9404738</v>
      </c>
      <c r="F226" t="str">
        <v>X</v>
      </c>
      <c r="G226" t="str">
        <v>B049</v>
      </c>
    </row>
    <row r="227" spans="1:7" x14ac:dyDescent="0.25">
      <c r="A227" t="str" cm="1">
        <f t="array" ref="A227:G227">_xlfn.XLOOKUP(List1!G120,erlaubt!A:A,List1!A:G,"",0,1)</f>
        <v>ASCRIPT_B049_5K_DES_1</v>
      </c>
      <c r="B227" t="str">
        <v>fertig</v>
      </c>
      <c r="C227">
        <v>45909</v>
      </c>
      <c r="D227">
        <v>0.57527777777778</v>
      </c>
      <c r="E227" t="str">
        <v>9404738</v>
      </c>
      <c r="F227" t="str">
        <v>X</v>
      </c>
      <c r="G227" t="str">
        <v>B049</v>
      </c>
    </row>
    <row r="228" spans="1:7" x14ac:dyDescent="0.25">
      <c r="A228" t="str" cm="1">
        <f t="array" ref="A228:G228">_xlfn.XLOOKUP(List1!G121,erlaubt!A:A,List1!A:G,"",0,1)</f>
        <v>ASCRIPT_B049_5K_DES_1</v>
      </c>
      <c r="B228" t="str">
        <v>fertig</v>
      </c>
      <c r="C228">
        <v>45909</v>
      </c>
      <c r="D228">
        <v>0.57527777777778</v>
      </c>
      <c r="E228" t="str">
        <v>9404738</v>
      </c>
      <c r="F228" t="str">
        <v>X</v>
      </c>
      <c r="G228" t="str">
        <v>B049</v>
      </c>
    </row>
    <row r="229" spans="1:7" x14ac:dyDescent="0.25">
      <c r="A229" t="str" cm="1">
        <f t="array" ref="A229:G229">_xlfn.XLOOKUP(List1!G122,erlaubt!A:A,List1!A:G,"",0,1)</f>
        <v>ASCRIPT_B049_5K_DES_1</v>
      </c>
      <c r="B229" t="str">
        <v>fertig</v>
      </c>
      <c r="C229">
        <v>45909</v>
      </c>
      <c r="D229">
        <v>0.57527777777778</v>
      </c>
      <c r="E229" t="str">
        <v>9404738</v>
      </c>
      <c r="F229" t="str">
        <v>X</v>
      </c>
      <c r="G229" t="str">
        <v>B049</v>
      </c>
    </row>
    <row r="230" spans="1:7" x14ac:dyDescent="0.25">
      <c r="A230" t="str" cm="1">
        <f t="array" ref="A230:G230">_xlfn.XLOOKUP(List1!G123,erlaubt!A:A,List1!A:G,"",0,1)</f>
        <v>ASCRIPT_B049_5K_DES_1</v>
      </c>
      <c r="B230" t="str">
        <v>fertig</v>
      </c>
      <c r="C230">
        <v>45909</v>
      </c>
      <c r="D230">
        <v>0.57527777777778</v>
      </c>
      <c r="E230" t="str">
        <v>9404738</v>
      </c>
      <c r="F230" t="str">
        <v>X</v>
      </c>
      <c r="G230" t="str">
        <v>B049</v>
      </c>
    </row>
    <row r="231" spans="1:7" x14ac:dyDescent="0.25">
      <c r="A231" t="str" cm="1">
        <f t="array" ref="A231:G231">_xlfn.XLOOKUP(List1!G124,erlaubt!A:A,List1!A:G,"",0,1)</f>
        <v>ASCRIPT_B049_5K_DES_1</v>
      </c>
      <c r="B231" t="str">
        <v>fertig</v>
      </c>
      <c r="C231">
        <v>45909</v>
      </c>
      <c r="D231">
        <v>0.57527777777778</v>
      </c>
      <c r="E231" t="str">
        <v>9404738</v>
      </c>
      <c r="F231" t="str">
        <v>X</v>
      </c>
      <c r="G231" t="str">
        <v>B049</v>
      </c>
    </row>
    <row r="232" spans="1:7" x14ac:dyDescent="0.25">
      <c r="A232" t="str" cm="1">
        <f t="array" ref="A232:G232">_xlfn.XLOOKUP(List1!G125,erlaubt!A:A,List1!A:G,"",0,1)</f>
        <v>ASCRIPT_B049_5K_DES_1</v>
      </c>
      <c r="B232" t="str">
        <v>fertig</v>
      </c>
      <c r="C232">
        <v>45909</v>
      </c>
      <c r="D232">
        <v>0.57527777777778</v>
      </c>
      <c r="E232" t="str">
        <v>9404738</v>
      </c>
      <c r="F232" t="str">
        <v>X</v>
      </c>
      <c r="G232" t="str">
        <v>B049</v>
      </c>
    </row>
    <row r="233" spans="1:7" x14ac:dyDescent="0.25">
      <c r="A233" t="str" cm="1">
        <f t="array" ref="A233:G233">_xlfn.XLOOKUP(List1!G126,erlaubt!A:A,List1!A:G,"",0,1)</f>
        <v>ASCRIPT_B049_5K_DES_1</v>
      </c>
      <c r="B233" t="str">
        <v>fertig</v>
      </c>
      <c r="C233">
        <v>45909</v>
      </c>
      <c r="D233">
        <v>0.57527777777778</v>
      </c>
      <c r="E233" t="str">
        <v>9404738</v>
      </c>
      <c r="F233" t="str">
        <v>X</v>
      </c>
      <c r="G233" t="str">
        <v>B049</v>
      </c>
    </row>
    <row r="234" spans="1:7" x14ac:dyDescent="0.25">
      <c r="A234" t="str" cm="1">
        <f t="array" ref="A234:G234">_xlfn.XLOOKUP(List1!G127,erlaubt!A:A,List1!A:G,"",0,1)</f>
        <v>ASCRIPT_B049_5K_DES_1</v>
      </c>
      <c r="B234" t="str">
        <v>fertig</v>
      </c>
      <c r="C234">
        <v>45909</v>
      </c>
      <c r="D234">
        <v>0.57527777777778</v>
      </c>
      <c r="E234" t="str">
        <v>9404738</v>
      </c>
      <c r="F234" t="str">
        <v>X</v>
      </c>
      <c r="G234" t="str">
        <v>B049</v>
      </c>
    </row>
    <row r="235" spans="1:7" x14ac:dyDescent="0.25">
      <c r="A235" t="str" cm="1">
        <f t="array" ref="A235:G235">_xlfn.XLOOKUP(List1!G128,erlaubt!A:A,List1!A:G,"",0,1)</f>
        <v>ASCRIPT_B049_5K_DES_1</v>
      </c>
      <c r="B235" t="str">
        <v>fertig</v>
      </c>
      <c r="C235">
        <v>45909</v>
      </c>
      <c r="D235">
        <v>0.57527777777778</v>
      </c>
      <c r="E235" t="str">
        <v>9404738</v>
      </c>
      <c r="F235" t="str">
        <v>X</v>
      </c>
      <c r="G235" t="str">
        <v>B049</v>
      </c>
    </row>
    <row r="236" spans="1:7" x14ac:dyDescent="0.25">
      <c r="A236" t="str" cm="1">
        <f t="array" ref="A236:G236">_xlfn.XLOOKUP(List1!G129,erlaubt!A:A,List1!A:G,"",0,1)</f>
        <v>ASCRIPT_B049_5K_DES_1</v>
      </c>
      <c r="B236" t="str">
        <v>fertig</v>
      </c>
      <c r="C236">
        <v>45909</v>
      </c>
      <c r="D236">
        <v>0.57527777777778</v>
      </c>
      <c r="E236" t="str">
        <v>9404738</v>
      </c>
      <c r="F236" t="str">
        <v>X</v>
      </c>
      <c r="G236" t="str">
        <v>B049</v>
      </c>
    </row>
    <row r="237" spans="1:7" x14ac:dyDescent="0.25">
      <c r="A237" t="str" cm="1">
        <f t="array" ref="A237:G237">_xlfn.XLOOKUP(List1!G130,erlaubt!A:A,List1!A:G,"",0,1)</f>
        <v>ASCRIPT_B049_5K_DES_1</v>
      </c>
      <c r="B237" t="str">
        <v>fertig</v>
      </c>
      <c r="C237">
        <v>45909</v>
      </c>
      <c r="D237">
        <v>0.57527777777778</v>
      </c>
      <c r="E237" t="str">
        <v>9404738</v>
      </c>
      <c r="F237" t="str">
        <v>X</v>
      </c>
      <c r="G237" t="str">
        <v>B049</v>
      </c>
    </row>
    <row r="238" spans="1:7" x14ac:dyDescent="0.25">
      <c r="A238" t="str" cm="1">
        <f t="array" ref="A238:G238">_xlfn.XLOOKUP(List1!G131,erlaubt!A:A,List1!A:G,"",0,1)</f>
        <v>ASCRIPT_B049_5K_DES_1</v>
      </c>
      <c r="B238" t="str">
        <v>fertig</v>
      </c>
      <c r="C238">
        <v>45909</v>
      </c>
      <c r="D238">
        <v>0.57527777777778</v>
      </c>
      <c r="E238" t="str">
        <v>9404738</v>
      </c>
      <c r="F238" t="str">
        <v>X</v>
      </c>
      <c r="G238" t="str">
        <v>B049</v>
      </c>
    </row>
    <row r="239" spans="1:7" x14ac:dyDescent="0.25">
      <c r="A239" t="str" cm="1">
        <f t="array" ref="A239:G239">_xlfn.XLOOKUP(List1!G132,erlaubt!A:A,List1!A:G,"",0,1)</f>
        <v>ASCRIPT_B049_5K_DES_1</v>
      </c>
      <c r="B239" t="str">
        <v>fertig</v>
      </c>
      <c r="C239">
        <v>45909</v>
      </c>
      <c r="D239">
        <v>0.57527777777778</v>
      </c>
      <c r="E239" t="str">
        <v>9404738</v>
      </c>
      <c r="F239" t="str">
        <v>X</v>
      </c>
      <c r="G239" t="str">
        <v>B049</v>
      </c>
    </row>
    <row r="240" spans="1:7" x14ac:dyDescent="0.25">
      <c r="A240" t="str" cm="1">
        <f t="array" ref="A240:G240">_xlfn.XLOOKUP(List1!G133,erlaubt!A:A,List1!A:G,"",0,1)</f>
        <v>ASCRIPT_B049_5K_DES_1</v>
      </c>
      <c r="B240" t="str">
        <v>fertig</v>
      </c>
      <c r="C240">
        <v>45909</v>
      </c>
      <c r="D240">
        <v>0.57527777777778</v>
      </c>
      <c r="E240" t="str">
        <v>9404738</v>
      </c>
      <c r="F240" t="str">
        <v>X</v>
      </c>
      <c r="G240" t="str">
        <v>B049</v>
      </c>
    </row>
    <row r="241" spans="1:7" x14ac:dyDescent="0.25">
      <c r="A241" t="str" cm="1">
        <f t="array" ref="A241:G241">_xlfn.XLOOKUP(List1!G134,erlaubt!A:A,List1!A:G,"",0,1)</f>
        <v>ASCRIPT_B049_5K_DES_1</v>
      </c>
      <c r="B241" t="str">
        <v>fertig</v>
      </c>
      <c r="C241">
        <v>45909</v>
      </c>
      <c r="D241">
        <v>0.57527777777778</v>
      </c>
      <c r="E241" t="str">
        <v>9404738</v>
      </c>
      <c r="F241" t="str">
        <v>X</v>
      </c>
      <c r="G241" t="str">
        <v>B049</v>
      </c>
    </row>
    <row r="242" spans="1:7" x14ac:dyDescent="0.25">
      <c r="A242" t="str" cm="1">
        <f t="array" ref="A242:G242">_xlfn.XLOOKUP(List1!G135,erlaubt!A:A,List1!A:G,"",0,1)</f>
        <v>ASCRIPT_B049_5K_DES_1</v>
      </c>
      <c r="B242" t="str">
        <v>fertig</v>
      </c>
      <c r="C242">
        <v>45909</v>
      </c>
      <c r="D242">
        <v>0.57527777777778</v>
      </c>
      <c r="E242" t="str">
        <v>9404738</v>
      </c>
      <c r="F242" t="str">
        <v>X</v>
      </c>
      <c r="G242" t="str">
        <v>B049</v>
      </c>
    </row>
    <row r="243" spans="1:7" x14ac:dyDescent="0.25">
      <c r="A243" t="str" cm="1">
        <f t="array" ref="A243:G243">_xlfn.XLOOKUP(List1!G136,erlaubt!A:A,List1!A:G,"",0,1)</f>
        <v>ASCRIPT_B049_5K_DES_1</v>
      </c>
      <c r="B243" t="str">
        <v>fertig</v>
      </c>
      <c r="C243">
        <v>45909</v>
      </c>
      <c r="D243">
        <v>0.57527777777778</v>
      </c>
      <c r="E243" t="str">
        <v>9404738</v>
      </c>
      <c r="F243" t="str">
        <v>X</v>
      </c>
      <c r="G243" t="str">
        <v>B049</v>
      </c>
    </row>
    <row r="244" spans="1:7" x14ac:dyDescent="0.25">
      <c r="A244" t="str" cm="1">
        <f t="array" ref="A244:G244">_xlfn.XLOOKUP(List1!G137,erlaubt!A:A,List1!A:G,"",0,1)</f>
        <v>ASCRIPT_B049_5K_DES_1</v>
      </c>
      <c r="B244" t="str">
        <v>fertig</v>
      </c>
      <c r="C244">
        <v>45909</v>
      </c>
      <c r="D244">
        <v>0.57527777777778</v>
      </c>
      <c r="E244" t="str">
        <v>9404738</v>
      </c>
      <c r="F244" t="str">
        <v>X</v>
      </c>
      <c r="G244" t="str">
        <v>B049</v>
      </c>
    </row>
    <row r="245" spans="1:7" x14ac:dyDescent="0.25">
      <c r="A245" t="str" cm="1">
        <f t="array" ref="A245:G245">_xlfn.XLOOKUP(List1!G138,erlaubt!A:A,List1!A:G,"",0,1)</f>
        <v>ASCRIPT_B049_5K_DES_1</v>
      </c>
      <c r="B245" t="str">
        <v>fertig</v>
      </c>
      <c r="C245">
        <v>45909</v>
      </c>
      <c r="D245">
        <v>0.57527777777778</v>
      </c>
      <c r="E245" t="str">
        <v>9404738</v>
      </c>
      <c r="F245" t="str">
        <v>X</v>
      </c>
      <c r="G245" t="str">
        <v>B049</v>
      </c>
    </row>
    <row r="246" spans="1:7" x14ac:dyDescent="0.25">
      <c r="A246" t="str" cm="1">
        <f t="array" ref="A246:G246">_xlfn.XLOOKUP(List1!G139,erlaubt!A:A,List1!A:G,"",0,1)</f>
        <v>ASCRIPT_B049_5K_DES_1</v>
      </c>
      <c r="B246" t="str">
        <v>fertig</v>
      </c>
      <c r="C246">
        <v>45909</v>
      </c>
      <c r="D246">
        <v>0.57527777777778</v>
      </c>
      <c r="E246" t="str">
        <v>9404738</v>
      </c>
      <c r="F246" t="str">
        <v>X</v>
      </c>
      <c r="G246" t="str">
        <v>B049</v>
      </c>
    </row>
    <row r="247" spans="1:7" x14ac:dyDescent="0.25">
      <c r="A247" t="str" cm="1">
        <f t="array" ref="A247:G247">_xlfn.XLOOKUP(List1!G140,erlaubt!A:A,List1!A:G,"",0,1)</f>
        <v>ASCRIPT_B049_5K_DES_1</v>
      </c>
      <c r="B247" t="str">
        <v>fertig</v>
      </c>
      <c r="C247">
        <v>45909</v>
      </c>
      <c r="D247">
        <v>0.57527777777778</v>
      </c>
      <c r="E247" t="str">
        <v>9404738</v>
      </c>
      <c r="F247" t="str">
        <v>X</v>
      </c>
      <c r="G247" t="str">
        <v>B049</v>
      </c>
    </row>
    <row r="248" spans="1:7" x14ac:dyDescent="0.25">
      <c r="A248" t="str" cm="1">
        <f t="array" ref="A248:G248">_xlfn.XLOOKUP(List1!G141,erlaubt!A:A,List1!A:G,"",0,1)</f>
        <v>ASCRIPT_B049_5K_DES_1</v>
      </c>
      <c r="B248" t="str">
        <v>fertig</v>
      </c>
      <c r="C248">
        <v>45909</v>
      </c>
      <c r="D248">
        <v>0.57527777777778</v>
      </c>
      <c r="E248" t="str">
        <v>9404738</v>
      </c>
      <c r="F248" t="str">
        <v>X</v>
      </c>
      <c r="G248" t="str">
        <v>B049</v>
      </c>
    </row>
    <row r="249" spans="1:7" x14ac:dyDescent="0.25">
      <c r="A249" t="str" cm="1">
        <f t="array" ref="A249:G249">_xlfn.XLOOKUP(List1!G142,erlaubt!A:A,List1!A:G,"",0,1)</f>
        <v>ASCRIPT_B049_5K_DES_1</v>
      </c>
      <c r="B249" t="str">
        <v>fertig</v>
      </c>
      <c r="C249">
        <v>45909</v>
      </c>
      <c r="D249">
        <v>0.57527777777778</v>
      </c>
      <c r="E249" t="str">
        <v>9404738</v>
      </c>
      <c r="F249" t="str">
        <v>X</v>
      </c>
      <c r="G249" t="str">
        <v>B049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FA9F7-D484-4FF1-8402-98B7BB40E868}">
  <dimension ref="A1:F257"/>
  <sheetViews>
    <sheetView workbookViewId="0">
      <selection sqref="A1:A34"/>
    </sheetView>
  </sheetViews>
  <sheetFormatPr baseColWidth="10" defaultRowHeight="15" x14ac:dyDescent="0.25"/>
  <cols>
    <col min="1" max="1" width="127.140625" bestFit="1" customWidth="1"/>
  </cols>
  <sheetData>
    <row r="1" spans="1:6" x14ac:dyDescent="0.25">
      <c r="A1" s="9" t="s">
        <v>344</v>
      </c>
      <c r="F1" t="s">
        <v>119</v>
      </c>
    </row>
    <row r="2" spans="1:6" x14ac:dyDescent="0.25">
      <c r="A2" s="10" t="s">
        <v>337</v>
      </c>
      <c r="F2" t="s">
        <v>120</v>
      </c>
    </row>
    <row r="3" spans="1:6" x14ac:dyDescent="0.25">
      <c r="A3" s="9" t="s">
        <v>129</v>
      </c>
      <c r="F3" t="s">
        <v>121</v>
      </c>
    </row>
    <row r="4" spans="1:6" x14ac:dyDescent="0.25">
      <c r="A4" s="10" t="s">
        <v>698</v>
      </c>
      <c r="F4" t="s">
        <v>122</v>
      </c>
    </row>
    <row r="5" spans="1:6" x14ac:dyDescent="0.25">
      <c r="A5" s="9" t="s">
        <v>699</v>
      </c>
      <c r="F5" t="s">
        <v>123</v>
      </c>
    </row>
    <row r="6" spans="1:6" x14ac:dyDescent="0.25">
      <c r="A6" s="10" t="s">
        <v>700</v>
      </c>
      <c r="F6" t="s">
        <v>124</v>
      </c>
    </row>
    <row r="7" spans="1:6" x14ac:dyDescent="0.25">
      <c r="A7" s="9" t="s">
        <v>701</v>
      </c>
      <c r="F7" t="s">
        <v>125</v>
      </c>
    </row>
    <row r="8" spans="1:6" x14ac:dyDescent="0.25">
      <c r="A8" s="10" t="s">
        <v>702</v>
      </c>
      <c r="F8" t="s">
        <v>126</v>
      </c>
    </row>
    <row r="9" spans="1:6" x14ac:dyDescent="0.25">
      <c r="A9" s="9" t="s">
        <v>703</v>
      </c>
      <c r="F9" t="s">
        <v>127</v>
      </c>
    </row>
    <row r="10" spans="1:6" x14ac:dyDescent="0.25">
      <c r="A10" s="10" t="s">
        <v>704</v>
      </c>
      <c r="F10" t="s">
        <v>128</v>
      </c>
    </row>
    <row r="11" spans="1:6" x14ac:dyDescent="0.25">
      <c r="A11" s="9" t="s">
        <v>705</v>
      </c>
      <c r="F11" t="s">
        <v>129</v>
      </c>
    </row>
    <row r="12" spans="1:6" x14ac:dyDescent="0.25">
      <c r="A12" s="10" t="s">
        <v>706</v>
      </c>
      <c r="F12" t="s">
        <v>130</v>
      </c>
    </row>
    <row r="13" spans="1:6" x14ac:dyDescent="0.25">
      <c r="A13" s="9" t="s">
        <v>707</v>
      </c>
      <c r="F13" t="s">
        <v>131</v>
      </c>
    </row>
    <row r="14" spans="1:6" x14ac:dyDescent="0.25">
      <c r="A14" s="10" t="s">
        <v>142</v>
      </c>
      <c r="F14" t="s">
        <v>132</v>
      </c>
    </row>
    <row r="15" spans="1:6" x14ac:dyDescent="0.25">
      <c r="A15" s="9" t="s">
        <v>708</v>
      </c>
      <c r="F15" t="s">
        <v>133</v>
      </c>
    </row>
    <row r="16" spans="1:6" x14ac:dyDescent="0.25">
      <c r="A16" s="10" t="s">
        <v>350</v>
      </c>
      <c r="F16" t="s">
        <v>134</v>
      </c>
    </row>
    <row r="17" spans="1:6" x14ac:dyDescent="0.25">
      <c r="A17" s="9" t="s">
        <v>709</v>
      </c>
      <c r="F17" t="s">
        <v>135</v>
      </c>
    </row>
    <row r="18" spans="1:6" x14ac:dyDescent="0.25">
      <c r="A18" s="10" t="s">
        <v>375</v>
      </c>
      <c r="F18" t="s">
        <v>136</v>
      </c>
    </row>
    <row r="19" spans="1:6" x14ac:dyDescent="0.25">
      <c r="A19" s="9" t="s">
        <v>268</v>
      </c>
      <c r="F19" t="s">
        <v>137</v>
      </c>
    </row>
    <row r="20" spans="1:6" x14ac:dyDescent="0.25">
      <c r="A20" s="10" t="s">
        <v>121</v>
      </c>
      <c r="F20" t="s">
        <v>138</v>
      </c>
    </row>
    <row r="21" spans="1:6" x14ac:dyDescent="0.25">
      <c r="A21" s="9" t="s">
        <v>710</v>
      </c>
      <c r="F21" t="s">
        <v>139</v>
      </c>
    </row>
    <row r="22" spans="1:6" x14ac:dyDescent="0.25">
      <c r="A22" s="10" t="s">
        <v>711</v>
      </c>
      <c r="F22" t="s">
        <v>140</v>
      </c>
    </row>
    <row r="23" spans="1:6" x14ac:dyDescent="0.25">
      <c r="A23" s="9" t="s">
        <v>290</v>
      </c>
      <c r="F23" t="s">
        <v>141</v>
      </c>
    </row>
    <row r="24" spans="1:6" x14ac:dyDescent="0.25">
      <c r="A24" s="10" t="s">
        <v>168</v>
      </c>
      <c r="F24" t="s">
        <v>142</v>
      </c>
    </row>
    <row r="25" spans="1:6" x14ac:dyDescent="0.25">
      <c r="A25" s="9" t="s">
        <v>712</v>
      </c>
      <c r="F25" t="s">
        <v>143</v>
      </c>
    </row>
    <row r="26" spans="1:6" x14ac:dyDescent="0.25">
      <c r="A26" s="10" t="s">
        <v>713</v>
      </c>
      <c r="F26" t="s">
        <v>144</v>
      </c>
    </row>
    <row r="27" spans="1:6" x14ac:dyDescent="0.25">
      <c r="A27" s="9" t="s">
        <v>714</v>
      </c>
      <c r="F27" t="s">
        <v>145</v>
      </c>
    </row>
    <row r="28" spans="1:6" x14ac:dyDescent="0.25">
      <c r="A28" s="10" t="s">
        <v>715</v>
      </c>
      <c r="F28" t="s">
        <v>146</v>
      </c>
    </row>
    <row r="29" spans="1:6" x14ac:dyDescent="0.25">
      <c r="A29" s="9" t="s">
        <v>716</v>
      </c>
      <c r="F29" t="s">
        <v>147</v>
      </c>
    </row>
    <row r="30" spans="1:6" x14ac:dyDescent="0.25">
      <c r="A30" s="10" t="s">
        <v>717</v>
      </c>
      <c r="F30" t="s">
        <v>148</v>
      </c>
    </row>
    <row r="31" spans="1:6" x14ac:dyDescent="0.25">
      <c r="A31" s="9" t="s">
        <v>320</v>
      </c>
      <c r="F31" t="s">
        <v>149</v>
      </c>
    </row>
    <row r="32" spans="1:6" x14ac:dyDescent="0.25">
      <c r="A32" s="10" t="s">
        <v>310</v>
      </c>
      <c r="F32" t="s">
        <v>150</v>
      </c>
    </row>
    <row r="33" spans="1:6" x14ac:dyDescent="0.25">
      <c r="A33" s="9" t="s">
        <v>718</v>
      </c>
      <c r="F33" t="s">
        <v>151</v>
      </c>
    </row>
    <row r="34" spans="1:6" x14ac:dyDescent="0.25">
      <c r="A34" s="10" t="s">
        <v>335</v>
      </c>
      <c r="F34" t="s">
        <v>152</v>
      </c>
    </row>
    <row r="35" spans="1:6" x14ac:dyDescent="0.25">
      <c r="F35" t="s">
        <v>153</v>
      </c>
    </row>
    <row r="36" spans="1:6" x14ac:dyDescent="0.25">
      <c r="F36" t="s">
        <v>154</v>
      </c>
    </row>
    <row r="37" spans="1:6" x14ac:dyDescent="0.25">
      <c r="F37" t="s">
        <v>155</v>
      </c>
    </row>
    <row r="38" spans="1:6" x14ac:dyDescent="0.25">
      <c r="F38" t="s">
        <v>156</v>
      </c>
    </row>
    <row r="39" spans="1:6" x14ac:dyDescent="0.25">
      <c r="F39" t="s">
        <v>157</v>
      </c>
    </row>
    <row r="40" spans="1:6" x14ac:dyDescent="0.25">
      <c r="F40" t="s">
        <v>158</v>
      </c>
    </row>
    <row r="41" spans="1:6" x14ac:dyDescent="0.25">
      <c r="F41" t="s">
        <v>159</v>
      </c>
    </row>
    <row r="42" spans="1:6" x14ac:dyDescent="0.25">
      <c r="F42" t="s">
        <v>160</v>
      </c>
    </row>
    <row r="43" spans="1:6" x14ac:dyDescent="0.25">
      <c r="F43" t="s">
        <v>161</v>
      </c>
    </row>
    <row r="44" spans="1:6" x14ac:dyDescent="0.25">
      <c r="F44" t="s">
        <v>162</v>
      </c>
    </row>
    <row r="45" spans="1:6" x14ac:dyDescent="0.25">
      <c r="F45" t="s">
        <v>163</v>
      </c>
    </row>
    <row r="46" spans="1:6" x14ac:dyDescent="0.25">
      <c r="F46" t="s">
        <v>164</v>
      </c>
    </row>
    <row r="47" spans="1:6" x14ac:dyDescent="0.25">
      <c r="F47" t="s">
        <v>165</v>
      </c>
    </row>
    <row r="48" spans="1:6" x14ac:dyDescent="0.25">
      <c r="F48" t="s">
        <v>166</v>
      </c>
    </row>
    <row r="49" spans="6:6" x14ac:dyDescent="0.25">
      <c r="F49" t="s">
        <v>167</v>
      </c>
    </row>
    <row r="50" spans="6:6" x14ac:dyDescent="0.25">
      <c r="F50" t="s">
        <v>168</v>
      </c>
    </row>
    <row r="51" spans="6:6" x14ac:dyDescent="0.25">
      <c r="F51" t="s">
        <v>169</v>
      </c>
    </row>
    <row r="52" spans="6:6" x14ac:dyDescent="0.25">
      <c r="F52" t="s">
        <v>170</v>
      </c>
    </row>
    <row r="53" spans="6:6" x14ac:dyDescent="0.25">
      <c r="F53" t="s">
        <v>171</v>
      </c>
    </row>
    <row r="54" spans="6:6" x14ac:dyDescent="0.25">
      <c r="F54" t="s">
        <v>172</v>
      </c>
    </row>
    <row r="55" spans="6:6" x14ac:dyDescent="0.25">
      <c r="F55" t="s">
        <v>173</v>
      </c>
    </row>
    <row r="56" spans="6:6" x14ac:dyDescent="0.25">
      <c r="F56" t="s">
        <v>174</v>
      </c>
    </row>
    <row r="57" spans="6:6" x14ac:dyDescent="0.25">
      <c r="F57" t="s">
        <v>175</v>
      </c>
    </row>
    <row r="58" spans="6:6" x14ac:dyDescent="0.25">
      <c r="F58" t="s">
        <v>176</v>
      </c>
    </row>
    <row r="59" spans="6:6" x14ac:dyDescent="0.25">
      <c r="F59" t="s">
        <v>177</v>
      </c>
    </row>
    <row r="60" spans="6:6" x14ac:dyDescent="0.25">
      <c r="F60" t="s">
        <v>178</v>
      </c>
    </row>
    <row r="61" spans="6:6" x14ac:dyDescent="0.25">
      <c r="F61" t="s">
        <v>179</v>
      </c>
    </row>
    <row r="62" spans="6:6" x14ac:dyDescent="0.25">
      <c r="F62" t="s">
        <v>180</v>
      </c>
    </row>
    <row r="63" spans="6:6" x14ac:dyDescent="0.25">
      <c r="F63" t="s">
        <v>181</v>
      </c>
    </row>
    <row r="64" spans="6:6" x14ac:dyDescent="0.25">
      <c r="F64" t="s">
        <v>182</v>
      </c>
    </row>
    <row r="65" spans="6:6" x14ac:dyDescent="0.25">
      <c r="F65" t="s">
        <v>183</v>
      </c>
    </row>
    <row r="66" spans="6:6" x14ac:dyDescent="0.25">
      <c r="F66" t="s">
        <v>184</v>
      </c>
    </row>
    <row r="67" spans="6:6" x14ac:dyDescent="0.25">
      <c r="F67" t="s">
        <v>185</v>
      </c>
    </row>
    <row r="68" spans="6:6" x14ac:dyDescent="0.25">
      <c r="F68" t="s">
        <v>186</v>
      </c>
    </row>
    <row r="69" spans="6:6" x14ac:dyDescent="0.25">
      <c r="F69" t="s">
        <v>187</v>
      </c>
    </row>
    <row r="70" spans="6:6" x14ac:dyDescent="0.25">
      <c r="F70" t="s">
        <v>188</v>
      </c>
    </row>
    <row r="71" spans="6:6" x14ac:dyDescent="0.25">
      <c r="F71" t="s">
        <v>189</v>
      </c>
    </row>
    <row r="72" spans="6:6" x14ac:dyDescent="0.25">
      <c r="F72" t="s">
        <v>190</v>
      </c>
    </row>
    <row r="73" spans="6:6" x14ac:dyDescent="0.25">
      <c r="F73" t="s">
        <v>191</v>
      </c>
    </row>
    <row r="74" spans="6:6" x14ac:dyDescent="0.25">
      <c r="F74" t="s">
        <v>192</v>
      </c>
    </row>
    <row r="75" spans="6:6" x14ac:dyDescent="0.25">
      <c r="F75" t="s">
        <v>193</v>
      </c>
    </row>
    <row r="76" spans="6:6" x14ac:dyDescent="0.25">
      <c r="F76" t="s">
        <v>194</v>
      </c>
    </row>
    <row r="77" spans="6:6" x14ac:dyDescent="0.25">
      <c r="F77" t="s">
        <v>195</v>
      </c>
    </row>
    <row r="78" spans="6:6" x14ac:dyDescent="0.25">
      <c r="F78" t="s">
        <v>196</v>
      </c>
    </row>
    <row r="79" spans="6:6" x14ac:dyDescent="0.25">
      <c r="F79" t="s">
        <v>197</v>
      </c>
    </row>
    <row r="80" spans="6:6" x14ac:dyDescent="0.25">
      <c r="F80" t="s">
        <v>198</v>
      </c>
    </row>
    <row r="81" spans="6:6" x14ac:dyDescent="0.25">
      <c r="F81" t="s">
        <v>199</v>
      </c>
    </row>
    <row r="82" spans="6:6" x14ac:dyDescent="0.25">
      <c r="F82" t="s">
        <v>200</v>
      </c>
    </row>
    <row r="83" spans="6:6" x14ac:dyDescent="0.25">
      <c r="F83" t="s">
        <v>201</v>
      </c>
    </row>
    <row r="84" spans="6:6" x14ac:dyDescent="0.25">
      <c r="F84" t="s">
        <v>202</v>
      </c>
    </row>
    <row r="85" spans="6:6" x14ac:dyDescent="0.25">
      <c r="F85" t="s">
        <v>203</v>
      </c>
    </row>
    <row r="86" spans="6:6" x14ac:dyDescent="0.25">
      <c r="F86" t="s">
        <v>204</v>
      </c>
    </row>
    <row r="87" spans="6:6" x14ac:dyDescent="0.25">
      <c r="F87" t="s">
        <v>205</v>
      </c>
    </row>
    <row r="88" spans="6:6" x14ac:dyDescent="0.25">
      <c r="F88" t="s">
        <v>206</v>
      </c>
    </row>
    <row r="89" spans="6:6" x14ac:dyDescent="0.25">
      <c r="F89" t="s">
        <v>207</v>
      </c>
    </row>
    <row r="90" spans="6:6" x14ac:dyDescent="0.25">
      <c r="F90" t="s">
        <v>208</v>
      </c>
    </row>
    <row r="91" spans="6:6" x14ac:dyDescent="0.25">
      <c r="F91" t="s">
        <v>209</v>
      </c>
    </row>
    <row r="92" spans="6:6" x14ac:dyDescent="0.25">
      <c r="F92" t="s">
        <v>210</v>
      </c>
    </row>
    <row r="93" spans="6:6" x14ac:dyDescent="0.25">
      <c r="F93" t="s">
        <v>211</v>
      </c>
    </row>
    <row r="94" spans="6:6" x14ac:dyDescent="0.25">
      <c r="F94" t="s">
        <v>212</v>
      </c>
    </row>
    <row r="95" spans="6:6" x14ac:dyDescent="0.25">
      <c r="F95" t="s">
        <v>213</v>
      </c>
    </row>
    <row r="96" spans="6:6" x14ac:dyDescent="0.25">
      <c r="F96" t="s">
        <v>214</v>
      </c>
    </row>
    <row r="97" spans="6:6" x14ac:dyDescent="0.25">
      <c r="F97" t="s">
        <v>215</v>
      </c>
    </row>
    <row r="98" spans="6:6" x14ac:dyDescent="0.25">
      <c r="F98" t="s">
        <v>216</v>
      </c>
    </row>
    <row r="99" spans="6:6" x14ac:dyDescent="0.25">
      <c r="F99" t="s">
        <v>217</v>
      </c>
    </row>
    <row r="100" spans="6:6" x14ac:dyDescent="0.25">
      <c r="F100" t="s">
        <v>218</v>
      </c>
    </row>
    <row r="101" spans="6:6" x14ac:dyDescent="0.25">
      <c r="F101" t="s">
        <v>219</v>
      </c>
    </row>
    <row r="102" spans="6:6" x14ac:dyDescent="0.25">
      <c r="F102" t="s">
        <v>220</v>
      </c>
    </row>
    <row r="103" spans="6:6" x14ac:dyDescent="0.25">
      <c r="F103" t="s">
        <v>221</v>
      </c>
    </row>
    <row r="104" spans="6:6" x14ac:dyDescent="0.25">
      <c r="F104" t="s">
        <v>222</v>
      </c>
    </row>
    <row r="105" spans="6:6" x14ac:dyDescent="0.25">
      <c r="F105" t="s">
        <v>223</v>
      </c>
    </row>
    <row r="106" spans="6:6" x14ac:dyDescent="0.25">
      <c r="F106" t="s">
        <v>224</v>
      </c>
    </row>
    <row r="107" spans="6:6" x14ac:dyDescent="0.25">
      <c r="F107" t="s">
        <v>225</v>
      </c>
    </row>
    <row r="108" spans="6:6" x14ac:dyDescent="0.25">
      <c r="F108" t="s">
        <v>226</v>
      </c>
    </row>
    <row r="109" spans="6:6" x14ac:dyDescent="0.25">
      <c r="F109" t="s">
        <v>227</v>
      </c>
    </row>
    <row r="110" spans="6:6" x14ac:dyDescent="0.25">
      <c r="F110" t="s">
        <v>228</v>
      </c>
    </row>
    <row r="111" spans="6:6" x14ac:dyDescent="0.25">
      <c r="F111" t="s">
        <v>229</v>
      </c>
    </row>
    <row r="112" spans="6:6" x14ac:dyDescent="0.25">
      <c r="F112" t="s">
        <v>230</v>
      </c>
    </row>
    <row r="113" spans="6:6" x14ac:dyDescent="0.25">
      <c r="F113" t="s">
        <v>231</v>
      </c>
    </row>
    <row r="114" spans="6:6" x14ac:dyDescent="0.25">
      <c r="F114" t="s">
        <v>232</v>
      </c>
    </row>
    <row r="115" spans="6:6" x14ac:dyDescent="0.25">
      <c r="F115" t="s">
        <v>233</v>
      </c>
    </row>
    <row r="116" spans="6:6" x14ac:dyDescent="0.25">
      <c r="F116" t="s">
        <v>234</v>
      </c>
    </row>
    <row r="117" spans="6:6" x14ac:dyDescent="0.25">
      <c r="F117" t="s">
        <v>235</v>
      </c>
    </row>
    <row r="118" spans="6:6" x14ac:dyDescent="0.25">
      <c r="F118" t="s">
        <v>236</v>
      </c>
    </row>
    <row r="119" spans="6:6" x14ac:dyDescent="0.25">
      <c r="F119" t="s">
        <v>237</v>
      </c>
    </row>
    <row r="120" spans="6:6" x14ac:dyDescent="0.25">
      <c r="F120" t="s">
        <v>238</v>
      </c>
    </row>
    <row r="121" spans="6:6" x14ac:dyDescent="0.25">
      <c r="F121" t="s">
        <v>239</v>
      </c>
    </row>
    <row r="122" spans="6:6" x14ac:dyDescent="0.25">
      <c r="F122" t="s">
        <v>240</v>
      </c>
    </row>
    <row r="123" spans="6:6" x14ac:dyDescent="0.25">
      <c r="F123" t="s">
        <v>241</v>
      </c>
    </row>
    <row r="124" spans="6:6" x14ac:dyDescent="0.25">
      <c r="F124" t="s">
        <v>242</v>
      </c>
    </row>
    <row r="125" spans="6:6" x14ac:dyDescent="0.25">
      <c r="F125" t="s">
        <v>243</v>
      </c>
    </row>
    <row r="126" spans="6:6" x14ac:dyDescent="0.25">
      <c r="F126" t="s">
        <v>244</v>
      </c>
    </row>
    <row r="127" spans="6:6" x14ac:dyDescent="0.25">
      <c r="F127" t="s">
        <v>245</v>
      </c>
    </row>
    <row r="128" spans="6:6" x14ac:dyDescent="0.25">
      <c r="F128" t="s">
        <v>246</v>
      </c>
    </row>
    <row r="129" spans="6:6" x14ac:dyDescent="0.25">
      <c r="F129" t="s">
        <v>247</v>
      </c>
    </row>
    <row r="130" spans="6:6" x14ac:dyDescent="0.25">
      <c r="F130" t="s">
        <v>248</v>
      </c>
    </row>
    <row r="131" spans="6:6" x14ac:dyDescent="0.25">
      <c r="F131" t="s">
        <v>249</v>
      </c>
    </row>
    <row r="132" spans="6:6" x14ac:dyDescent="0.25">
      <c r="F132" t="s">
        <v>250</v>
      </c>
    </row>
    <row r="133" spans="6:6" x14ac:dyDescent="0.25">
      <c r="F133" t="s">
        <v>251</v>
      </c>
    </row>
    <row r="134" spans="6:6" x14ac:dyDescent="0.25">
      <c r="F134" t="s">
        <v>252</v>
      </c>
    </row>
    <row r="135" spans="6:6" x14ac:dyDescent="0.25">
      <c r="F135" t="s">
        <v>253</v>
      </c>
    </row>
    <row r="136" spans="6:6" x14ac:dyDescent="0.25">
      <c r="F136" t="s">
        <v>254</v>
      </c>
    </row>
    <row r="137" spans="6:6" x14ac:dyDescent="0.25">
      <c r="F137" t="s">
        <v>255</v>
      </c>
    </row>
    <row r="138" spans="6:6" x14ac:dyDescent="0.25">
      <c r="F138" t="s">
        <v>256</v>
      </c>
    </row>
    <row r="139" spans="6:6" x14ac:dyDescent="0.25">
      <c r="F139" t="s">
        <v>257</v>
      </c>
    </row>
    <row r="140" spans="6:6" x14ac:dyDescent="0.25">
      <c r="F140" t="s">
        <v>258</v>
      </c>
    </row>
    <row r="141" spans="6:6" x14ac:dyDescent="0.25">
      <c r="F141" t="s">
        <v>259</v>
      </c>
    </row>
    <row r="142" spans="6:6" x14ac:dyDescent="0.25">
      <c r="F142" t="s">
        <v>260</v>
      </c>
    </row>
    <row r="143" spans="6:6" x14ac:dyDescent="0.25">
      <c r="F143" t="s">
        <v>261</v>
      </c>
    </row>
    <row r="144" spans="6:6" x14ac:dyDescent="0.25">
      <c r="F144" t="s">
        <v>262</v>
      </c>
    </row>
    <row r="145" spans="6:6" x14ac:dyDescent="0.25">
      <c r="F145" t="s">
        <v>263</v>
      </c>
    </row>
    <row r="146" spans="6:6" x14ac:dyDescent="0.25">
      <c r="F146" t="s">
        <v>264</v>
      </c>
    </row>
    <row r="147" spans="6:6" x14ac:dyDescent="0.25">
      <c r="F147" t="s">
        <v>265</v>
      </c>
    </row>
    <row r="148" spans="6:6" x14ac:dyDescent="0.25">
      <c r="F148" t="s">
        <v>266</v>
      </c>
    </row>
    <row r="149" spans="6:6" x14ac:dyDescent="0.25">
      <c r="F149" t="s">
        <v>267</v>
      </c>
    </row>
    <row r="150" spans="6:6" x14ac:dyDescent="0.25">
      <c r="F150" t="s">
        <v>268</v>
      </c>
    </row>
    <row r="151" spans="6:6" x14ac:dyDescent="0.25">
      <c r="F151" t="s">
        <v>269</v>
      </c>
    </row>
    <row r="152" spans="6:6" x14ac:dyDescent="0.25">
      <c r="F152" t="s">
        <v>270</v>
      </c>
    </row>
    <row r="153" spans="6:6" x14ac:dyDescent="0.25">
      <c r="F153" t="s">
        <v>271</v>
      </c>
    </row>
    <row r="154" spans="6:6" x14ac:dyDescent="0.25">
      <c r="F154" t="s">
        <v>272</v>
      </c>
    </row>
    <row r="155" spans="6:6" x14ac:dyDescent="0.25">
      <c r="F155" t="s">
        <v>273</v>
      </c>
    </row>
    <row r="156" spans="6:6" x14ac:dyDescent="0.25">
      <c r="F156" t="s">
        <v>274</v>
      </c>
    </row>
    <row r="157" spans="6:6" x14ac:dyDescent="0.25">
      <c r="F157" t="s">
        <v>275</v>
      </c>
    </row>
    <row r="158" spans="6:6" x14ac:dyDescent="0.25">
      <c r="F158" t="s">
        <v>276</v>
      </c>
    </row>
    <row r="159" spans="6:6" x14ac:dyDescent="0.25">
      <c r="F159" t="s">
        <v>277</v>
      </c>
    </row>
    <row r="160" spans="6:6" x14ac:dyDescent="0.25">
      <c r="F160" t="s">
        <v>278</v>
      </c>
    </row>
    <row r="161" spans="6:6" x14ac:dyDescent="0.25">
      <c r="F161" t="s">
        <v>279</v>
      </c>
    </row>
    <row r="162" spans="6:6" x14ac:dyDescent="0.25">
      <c r="F162" t="s">
        <v>280</v>
      </c>
    </row>
    <row r="163" spans="6:6" x14ac:dyDescent="0.25">
      <c r="F163" t="s">
        <v>281</v>
      </c>
    </row>
    <row r="164" spans="6:6" x14ac:dyDescent="0.25">
      <c r="F164" t="s">
        <v>282</v>
      </c>
    </row>
    <row r="165" spans="6:6" x14ac:dyDescent="0.25">
      <c r="F165" t="s">
        <v>283</v>
      </c>
    </row>
    <row r="166" spans="6:6" x14ac:dyDescent="0.25">
      <c r="F166" t="s">
        <v>284</v>
      </c>
    </row>
    <row r="167" spans="6:6" x14ac:dyDescent="0.25">
      <c r="F167" t="s">
        <v>285</v>
      </c>
    </row>
    <row r="168" spans="6:6" x14ac:dyDescent="0.25">
      <c r="F168" t="s">
        <v>286</v>
      </c>
    </row>
    <row r="169" spans="6:6" x14ac:dyDescent="0.25">
      <c r="F169" t="s">
        <v>287</v>
      </c>
    </row>
    <row r="170" spans="6:6" x14ac:dyDescent="0.25">
      <c r="F170" t="s">
        <v>288</v>
      </c>
    </row>
    <row r="171" spans="6:6" x14ac:dyDescent="0.25">
      <c r="F171" t="s">
        <v>289</v>
      </c>
    </row>
    <row r="172" spans="6:6" x14ac:dyDescent="0.25">
      <c r="F172" t="s">
        <v>290</v>
      </c>
    </row>
    <row r="173" spans="6:6" x14ac:dyDescent="0.25">
      <c r="F173" t="s">
        <v>291</v>
      </c>
    </row>
    <row r="174" spans="6:6" x14ac:dyDescent="0.25">
      <c r="F174" t="s">
        <v>292</v>
      </c>
    </row>
    <row r="175" spans="6:6" x14ac:dyDescent="0.25">
      <c r="F175" t="s">
        <v>293</v>
      </c>
    </row>
    <row r="176" spans="6:6" x14ac:dyDescent="0.25">
      <c r="F176" t="s">
        <v>294</v>
      </c>
    </row>
    <row r="177" spans="6:6" x14ac:dyDescent="0.25">
      <c r="F177" t="s">
        <v>295</v>
      </c>
    </row>
    <row r="178" spans="6:6" x14ac:dyDescent="0.25">
      <c r="F178" t="s">
        <v>296</v>
      </c>
    </row>
    <row r="179" spans="6:6" x14ac:dyDescent="0.25">
      <c r="F179" t="s">
        <v>297</v>
      </c>
    </row>
    <row r="180" spans="6:6" x14ac:dyDescent="0.25">
      <c r="F180" t="s">
        <v>298</v>
      </c>
    </row>
    <row r="181" spans="6:6" x14ac:dyDescent="0.25">
      <c r="F181" t="s">
        <v>299</v>
      </c>
    </row>
    <row r="182" spans="6:6" x14ac:dyDescent="0.25">
      <c r="F182" t="s">
        <v>300</v>
      </c>
    </row>
    <row r="183" spans="6:6" x14ac:dyDescent="0.25">
      <c r="F183" t="s">
        <v>301</v>
      </c>
    </row>
    <row r="184" spans="6:6" x14ac:dyDescent="0.25">
      <c r="F184" t="s">
        <v>302</v>
      </c>
    </row>
    <row r="185" spans="6:6" x14ac:dyDescent="0.25">
      <c r="F185" t="s">
        <v>303</v>
      </c>
    </row>
    <row r="186" spans="6:6" x14ac:dyDescent="0.25">
      <c r="F186" t="s">
        <v>304</v>
      </c>
    </row>
    <row r="187" spans="6:6" x14ac:dyDescent="0.25">
      <c r="F187" t="s">
        <v>305</v>
      </c>
    </row>
    <row r="188" spans="6:6" x14ac:dyDescent="0.25">
      <c r="F188" t="s">
        <v>306</v>
      </c>
    </row>
    <row r="189" spans="6:6" x14ac:dyDescent="0.25">
      <c r="F189" t="s">
        <v>307</v>
      </c>
    </row>
    <row r="190" spans="6:6" x14ac:dyDescent="0.25">
      <c r="F190" t="s">
        <v>308</v>
      </c>
    </row>
    <row r="191" spans="6:6" x14ac:dyDescent="0.25">
      <c r="F191" t="s">
        <v>309</v>
      </c>
    </row>
    <row r="192" spans="6:6" x14ac:dyDescent="0.25">
      <c r="F192" t="s">
        <v>310</v>
      </c>
    </row>
    <row r="193" spans="6:6" x14ac:dyDescent="0.25">
      <c r="F193" t="s">
        <v>311</v>
      </c>
    </row>
    <row r="194" spans="6:6" x14ac:dyDescent="0.25">
      <c r="F194" t="s">
        <v>312</v>
      </c>
    </row>
    <row r="195" spans="6:6" x14ac:dyDescent="0.25">
      <c r="F195" t="s">
        <v>313</v>
      </c>
    </row>
    <row r="196" spans="6:6" x14ac:dyDescent="0.25">
      <c r="F196" t="s">
        <v>314</v>
      </c>
    </row>
    <row r="197" spans="6:6" x14ac:dyDescent="0.25">
      <c r="F197" t="s">
        <v>315</v>
      </c>
    </row>
    <row r="198" spans="6:6" x14ac:dyDescent="0.25">
      <c r="F198" t="s">
        <v>316</v>
      </c>
    </row>
    <row r="199" spans="6:6" x14ac:dyDescent="0.25">
      <c r="F199" t="s">
        <v>317</v>
      </c>
    </row>
    <row r="200" spans="6:6" x14ac:dyDescent="0.25">
      <c r="F200" t="s">
        <v>318</v>
      </c>
    </row>
    <row r="201" spans="6:6" x14ac:dyDescent="0.25">
      <c r="F201" t="s">
        <v>319</v>
      </c>
    </row>
    <row r="202" spans="6:6" x14ac:dyDescent="0.25">
      <c r="F202" t="s">
        <v>320</v>
      </c>
    </row>
    <row r="203" spans="6:6" x14ac:dyDescent="0.25">
      <c r="F203" t="s">
        <v>321</v>
      </c>
    </row>
    <row r="204" spans="6:6" x14ac:dyDescent="0.25">
      <c r="F204" t="s">
        <v>322</v>
      </c>
    </row>
    <row r="205" spans="6:6" x14ac:dyDescent="0.25">
      <c r="F205" t="s">
        <v>323</v>
      </c>
    </row>
    <row r="206" spans="6:6" x14ac:dyDescent="0.25">
      <c r="F206" t="s">
        <v>324</v>
      </c>
    </row>
    <row r="207" spans="6:6" x14ac:dyDescent="0.25">
      <c r="F207" t="s">
        <v>325</v>
      </c>
    </row>
    <row r="208" spans="6:6" x14ac:dyDescent="0.25">
      <c r="F208" t="s">
        <v>326</v>
      </c>
    </row>
    <row r="209" spans="6:6" x14ac:dyDescent="0.25">
      <c r="F209" t="s">
        <v>327</v>
      </c>
    </row>
    <row r="210" spans="6:6" x14ac:dyDescent="0.25">
      <c r="F210" t="s">
        <v>328</v>
      </c>
    </row>
    <row r="211" spans="6:6" x14ac:dyDescent="0.25">
      <c r="F211" t="s">
        <v>329</v>
      </c>
    </row>
    <row r="212" spans="6:6" x14ac:dyDescent="0.25">
      <c r="F212" t="s">
        <v>330</v>
      </c>
    </row>
    <row r="213" spans="6:6" x14ac:dyDescent="0.25">
      <c r="F213" t="s">
        <v>331</v>
      </c>
    </row>
    <row r="214" spans="6:6" x14ac:dyDescent="0.25">
      <c r="F214" t="s">
        <v>332</v>
      </c>
    </row>
    <row r="215" spans="6:6" x14ac:dyDescent="0.25">
      <c r="F215" t="s">
        <v>333</v>
      </c>
    </row>
    <row r="216" spans="6:6" x14ac:dyDescent="0.25">
      <c r="F216" t="s">
        <v>334</v>
      </c>
    </row>
    <row r="217" spans="6:6" x14ac:dyDescent="0.25">
      <c r="F217" t="s">
        <v>335</v>
      </c>
    </row>
    <row r="218" spans="6:6" x14ac:dyDescent="0.25">
      <c r="F218" t="s">
        <v>336</v>
      </c>
    </row>
    <row r="219" spans="6:6" x14ac:dyDescent="0.25">
      <c r="F219" t="s">
        <v>337</v>
      </c>
    </row>
    <row r="220" spans="6:6" x14ac:dyDescent="0.25">
      <c r="F220" t="s">
        <v>338</v>
      </c>
    </row>
    <row r="221" spans="6:6" x14ac:dyDescent="0.25">
      <c r="F221" t="s">
        <v>339</v>
      </c>
    </row>
    <row r="222" spans="6:6" x14ac:dyDescent="0.25">
      <c r="F222" t="s">
        <v>340</v>
      </c>
    </row>
    <row r="223" spans="6:6" x14ac:dyDescent="0.25">
      <c r="F223" t="s">
        <v>341</v>
      </c>
    </row>
    <row r="224" spans="6:6" x14ac:dyDescent="0.25">
      <c r="F224" t="s">
        <v>342</v>
      </c>
    </row>
    <row r="225" spans="6:6" x14ac:dyDescent="0.25">
      <c r="F225" t="s">
        <v>343</v>
      </c>
    </row>
    <row r="226" spans="6:6" x14ac:dyDescent="0.25">
      <c r="F226" t="s">
        <v>344</v>
      </c>
    </row>
    <row r="227" spans="6:6" x14ac:dyDescent="0.25">
      <c r="F227" t="s">
        <v>345</v>
      </c>
    </row>
    <row r="228" spans="6:6" x14ac:dyDescent="0.25">
      <c r="F228" t="s">
        <v>346</v>
      </c>
    </row>
    <row r="229" spans="6:6" x14ac:dyDescent="0.25">
      <c r="F229" t="s">
        <v>347</v>
      </c>
    </row>
    <row r="230" spans="6:6" x14ac:dyDescent="0.25">
      <c r="F230" t="s">
        <v>348</v>
      </c>
    </row>
    <row r="231" spans="6:6" x14ac:dyDescent="0.25">
      <c r="F231" t="s">
        <v>349</v>
      </c>
    </row>
    <row r="232" spans="6:6" x14ac:dyDescent="0.25">
      <c r="F232" t="s">
        <v>350</v>
      </c>
    </row>
    <row r="233" spans="6:6" x14ac:dyDescent="0.25">
      <c r="F233" t="s">
        <v>351</v>
      </c>
    </row>
    <row r="234" spans="6:6" x14ac:dyDescent="0.25">
      <c r="F234" t="s">
        <v>352</v>
      </c>
    </row>
    <row r="235" spans="6:6" x14ac:dyDescent="0.25">
      <c r="F235" t="s">
        <v>353</v>
      </c>
    </row>
    <row r="236" spans="6:6" x14ac:dyDescent="0.25">
      <c r="F236" t="s">
        <v>354</v>
      </c>
    </row>
    <row r="237" spans="6:6" x14ac:dyDescent="0.25">
      <c r="F237" t="s">
        <v>355</v>
      </c>
    </row>
    <row r="238" spans="6:6" x14ac:dyDescent="0.25">
      <c r="F238" t="s">
        <v>356</v>
      </c>
    </row>
    <row r="239" spans="6:6" x14ac:dyDescent="0.25">
      <c r="F239" t="s">
        <v>357</v>
      </c>
    </row>
    <row r="240" spans="6:6" x14ac:dyDescent="0.25">
      <c r="F240" t="s">
        <v>358</v>
      </c>
    </row>
    <row r="241" spans="6:6" x14ac:dyDescent="0.25">
      <c r="F241" t="s">
        <v>359</v>
      </c>
    </row>
    <row r="242" spans="6:6" x14ac:dyDescent="0.25">
      <c r="F242" t="s">
        <v>360</v>
      </c>
    </row>
    <row r="243" spans="6:6" x14ac:dyDescent="0.25">
      <c r="F243" t="s">
        <v>361</v>
      </c>
    </row>
    <row r="244" spans="6:6" x14ac:dyDescent="0.25">
      <c r="F244" t="s">
        <v>362</v>
      </c>
    </row>
    <row r="245" spans="6:6" x14ac:dyDescent="0.25">
      <c r="F245" t="s">
        <v>363</v>
      </c>
    </row>
    <row r="246" spans="6:6" x14ac:dyDescent="0.25">
      <c r="F246" t="s">
        <v>364</v>
      </c>
    </row>
    <row r="247" spans="6:6" x14ac:dyDescent="0.25">
      <c r="F247" t="s">
        <v>365</v>
      </c>
    </row>
    <row r="248" spans="6:6" x14ac:dyDescent="0.25">
      <c r="F248" t="s">
        <v>366</v>
      </c>
    </row>
    <row r="249" spans="6:6" x14ac:dyDescent="0.25">
      <c r="F249" t="s">
        <v>367</v>
      </c>
    </row>
    <row r="250" spans="6:6" x14ac:dyDescent="0.25">
      <c r="F250" t="s">
        <v>368</v>
      </c>
    </row>
    <row r="251" spans="6:6" x14ac:dyDescent="0.25">
      <c r="F251" t="s">
        <v>369</v>
      </c>
    </row>
    <row r="252" spans="6:6" x14ac:dyDescent="0.25">
      <c r="F252" t="s">
        <v>370</v>
      </c>
    </row>
    <row r="253" spans="6:6" x14ac:dyDescent="0.25">
      <c r="F253" t="s">
        <v>371</v>
      </c>
    </row>
    <row r="254" spans="6:6" x14ac:dyDescent="0.25">
      <c r="F254" t="s">
        <v>372</v>
      </c>
    </row>
    <row r="255" spans="6:6" x14ac:dyDescent="0.25">
      <c r="F255" t="s">
        <v>373</v>
      </c>
    </row>
    <row r="256" spans="6:6" x14ac:dyDescent="0.25">
      <c r="F256" t="s">
        <v>374</v>
      </c>
    </row>
    <row r="257" spans="6:6" x14ac:dyDescent="0.25">
      <c r="F257" t="s">
        <v>375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043D5-3AA6-48D4-ABBE-7F658D163736}">
  <dimension ref="A1:P89"/>
  <sheetViews>
    <sheetView tabSelected="1" topLeftCell="L41" workbookViewId="0">
      <selection activeCell="M2" sqref="M2:M57"/>
    </sheetView>
  </sheetViews>
  <sheetFormatPr baseColWidth="10" defaultRowHeight="15" x14ac:dyDescent="0.25"/>
  <cols>
    <col min="1" max="1" width="54.5703125" bestFit="1" customWidth="1"/>
    <col min="2" max="2" width="18" bestFit="1" customWidth="1"/>
    <col min="3" max="3" width="33.140625" bestFit="1" customWidth="1"/>
    <col min="4" max="4" width="21.28515625" bestFit="1" customWidth="1"/>
    <col min="5" max="5" width="14.42578125" bestFit="1" customWidth="1"/>
    <col min="6" max="6" width="11.140625" bestFit="1" customWidth="1"/>
    <col min="7" max="7" width="12.42578125" bestFit="1" customWidth="1"/>
    <col min="9" max="9" width="93" bestFit="1" customWidth="1"/>
    <col min="10" max="10" width="21.7109375" bestFit="1" customWidth="1"/>
    <col min="11" max="11" width="26.140625" bestFit="1" customWidth="1"/>
    <col min="12" max="12" width="91.7109375" bestFit="1" customWidth="1"/>
    <col min="13" max="13" width="37" bestFit="1" customWidth="1"/>
    <col min="16" max="16" width="62.140625" bestFit="1" customWidth="1"/>
  </cols>
  <sheetData>
    <row r="1" spans="1:16" x14ac:dyDescent="0.25">
      <c r="A1" t="s">
        <v>494</v>
      </c>
      <c r="B1" t="s">
        <v>495</v>
      </c>
      <c r="C1" t="s">
        <v>496</v>
      </c>
      <c r="D1" t="s">
        <v>497</v>
      </c>
      <c r="E1" t="s">
        <v>498</v>
      </c>
      <c r="F1" t="s">
        <v>499</v>
      </c>
      <c r="G1" t="s">
        <v>500</v>
      </c>
      <c r="H1" t="s">
        <v>695</v>
      </c>
      <c r="I1" t="s">
        <v>696</v>
      </c>
      <c r="J1" t="s">
        <v>697</v>
      </c>
      <c r="K1" t="s">
        <v>719</v>
      </c>
      <c r="L1" t="s">
        <v>808</v>
      </c>
      <c r="M1" t="s">
        <v>809</v>
      </c>
      <c r="N1" t="s">
        <v>1040</v>
      </c>
      <c r="O1" t="s">
        <v>1041</v>
      </c>
      <c r="P1" t="s">
        <v>1043</v>
      </c>
    </row>
    <row r="2" spans="1:16" x14ac:dyDescent="0.25">
      <c r="A2" t="s">
        <v>505</v>
      </c>
      <c r="B2" t="s">
        <v>501</v>
      </c>
      <c r="C2" t="s">
        <v>502</v>
      </c>
      <c r="D2" t="s">
        <v>506</v>
      </c>
      <c r="E2" t="s">
        <v>503</v>
      </c>
      <c r="F2" t="s">
        <v>493</v>
      </c>
      <c r="G2" t="s">
        <v>504</v>
      </c>
      <c r="H2">
        <v>10967542</v>
      </c>
      <c r="I2" s="7" t="s">
        <v>898</v>
      </c>
      <c r="J2" t="s">
        <v>170</v>
      </c>
      <c r="K2" t="s">
        <v>720</v>
      </c>
      <c r="L2" t="str">
        <f>_xlfn.CONCAT("{ ",CHAR(34),"filename",CHAR(34),": ",CHAR(34),convertcsv[[#This Row],[neu]],CHAR(34),",",CHAR(34),"ticketuuid",CHAR(34),":"," ",CHAR(34),convertcsv[[#This Row],[ticketuid]],CHAR(34)," },")</f>
        <v>{ "filename": "_SAPLOM_X__RELEV.xlsx","ticketuuid": "FAFFDFFC66021FD0A3DBFA25AC9A4D58" },</v>
      </c>
      <c r="M2" t="s">
        <v>810</v>
      </c>
      <c r="N2" s="8" t="str">
        <f>VLOOKUP(convertcsv[[#This Row],[neu]],Tabelle1!$A$1:$A$55,1,FALSE)</f>
        <v>_SAPLOM_X__RELEV.xlsx</v>
      </c>
      <c r="O2" s="8" t="str">
        <f>REPLACE(convertcsv[[#This Row],[filename]],FIND(".htm",convertcsv[[#This Row],[filename]]),4,".xlsx")</f>
        <v>_SAPLOM_X__RELEV.xlsx</v>
      </c>
      <c r="P2" s="8" t="str">
        <f>convertcsv[[#This Row],[ticketuid]] &amp; "," &amp; convertcsv[[#This Row],[neu]]</f>
        <v>FAFFDFFC66021FD0A3DBFA25AC9A4D58,_SAPLOM_X__RELEV.xlsx</v>
      </c>
    </row>
    <row r="3" spans="1:16" x14ac:dyDescent="0.25">
      <c r="A3" t="s">
        <v>508</v>
      </c>
      <c r="B3" t="s">
        <v>501</v>
      </c>
      <c r="C3" t="s">
        <v>502</v>
      </c>
      <c r="D3" t="s">
        <v>506</v>
      </c>
      <c r="E3" t="s">
        <v>503</v>
      </c>
      <c r="F3" t="s">
        <v>493</v>
      </c>
      <c r="G3" t="s">
        <v>504</v>
      </c>
      <c r="H3">
        <v>10967544</v>
      </c>
      <c r="I3" t="s">
        <v>899</v>
      </c>
      <c r="J3" t="s">
        <v>348</v>
      </c>
      <c r="K3" t="s">
        <v>721</v>
      </c>
      <c r="L3" t="str">
        <f>_xlfn.CONCAT("{ ",CHAR(34),"filename",CHAR(34),": ",CHAR(34),convertcsv[[#This Row],[neu]],CHAR(34),",",CHAR(34),"ticketuuid",CHAR(34),":"," ",CHAR(34),convertcsv[[#This Row],[ticketuid]],CHAR(34)," },")</f>
        <v>{ "filename": "_WRP_MPDEVSTSUM.xlsx","ticketuuid": "FAFFDFFC66021FD0A3DBFD707E128C55" },</v>
      </c>
      <c r="M3" t="s">
        <v>811</v>
      </c>
      <c r="N3" s="8" t="str">
        <f>VLOOKUP(convertcsv[[#This Row],[neu]],Tabelle1!$A$1:$A$55,1,FALSE)</f>
        <v>_WRP_MPDEVSTSUM.xlsx</v>
      </c>
      <c r="O3" s="8" t="str">
        <f>REPLACE(convertcsv[[#This Row],[filename]],FIND(".htm",convertcsv[[#This Row],[filename]]),4,".xlsx")</f>
        <v>_WRP_MPDEVSTSUM.xlsx</v>
      </c>
      <c r="P3" s="8" t="str">
        <f>convertcsv[[#This Row],[ticketuid]] &amp; "," &amp; convertcsv[[#This Row],[neu]]</f>
        <v>FAFFDFFC66021FD0A3DBFD707E128C55,_WRP_MPDEVSTSUM.xlsx</v>
      </c>
    </row>
    <row r="4" spans="1:16" x14ac:dyDescent="0.25">
      <c r="A4" t="s">
        <v>509</v>
      </c>
      <c r="B4" t="s">
        <v>501</v>
      </c>
      <c r="C4" t="s">
        <v>502</v>
      </c>
      <c r="D4" t="s">
        <v>506</v>
      </c>
      <c r="E4" t="s">
        <v>503</v>
      </c>
      <c r="F4" t="s">
        <v>493</v>
      </c>
      <c r="G4" t="s">
        <v>504</v>
      </c>
      <c r="H4">
        <v>10967543</v>
      </c>
      <c r="I4" t="s">
        <v>900</v>
      </c>
      <c r="J4" t="s">
        <v>357</v>
      </c>
      <c r="K4" t="s">
        <v>722</v>
      </c>
      <c r="L4" t="str">
        <f>_xlfn.CONCAT("{ ",CHAR(34),"filename",CHAR(34),": ",CHAR(34),convertcsv[[#This Row],[neu]],CHAR(34),",",CHAR(34),"ticketuuid",CHAR(34),":"," ",CHAR(34),convertcsv[[#This Row],[ticketuid]],CHAR(34)," },")</f>
        <v>{ "filename": "_SAPLOM_X__BELEG.xlsx","ticketuuid": "FAFFDFFC66021FD0A3DBFBE22F9E1E63" },</v>
      </c>
      <c r="M4" t="s">
        <v>812</v>
      </c>
      <c r="N4" s="8" t="str">
        <f>VLOOKUP(convertcsv[[#This Row],[neu]],Tabelle1!$A$1:$A$55,1,FALSE)</f>
        <v>_SAPLOM_X__BELEG.xlsx</v>
      </c>
      <c r="O4" s="8" t="str">
        <f>REPLACE(convertcsv[[#This Row],[filename]],FIND(".htm",convertcsv[[#This Row],[filename]]),4,".xlsx")</f>
        <v>_SAPLOM_X__BELEG.xlsx</v>
      </c>
      <c r="P4" s="8" t="str">
        <f>convertcsv[[#This Row],[ticketuid]] &amp; "," &amp; convertcsv[[#This Row],[neu]]</f>
        <v>FAFFDFFC66021FD0A3DBFBE22F9E1E63,_SAPLOM_X__BELEG.xlsx</v>
      </c>
    </row>
    <row r="5" spans="1:16" x14ac:dyDescent="0.25">
      <c r="A5" t="s">
        <v>510</v>
      </c>
      <c r="B5" t="s">
        <v>501</v>
      </c>
      <c r="C5" t="s">
        <v>502</v>
      </c>
      <c r="D5" t="s">
        <v>506</v>
      </c>
      <c r="E5" t="s">
        <v>503</v>
      </c>
      <c r="F5" t="s">
        <v>493</v>
      </c>
      <c r="G5" t="s">
        <v>504</v>
      </c>
      <c r="H5">
        <v>10967541</v>
      </c>
      <c r="I5" s="7" t="s">
        <v>901</v>
      </c>
      <c r="J5" t="s">
        <v>293</v>
      </c>
      <c r="K5" t="s">
        <v>723</v>
      </c>
      <c r="L5" t="str">
        <f>_xlfn.CONCAT("{ ",CHAR(34),"filename",CHAR(34),": ",CHAR(34),convertcsv[[#This Row],[neu]],CHAR(34),",",CHAR(34),"ticketuuid",CHAR(34),":"," ",CHAR(34),convertcsv[[#This Row],[ticketuid]],CHAR(34)," },")</f>
        <v>{ "filename": "_WRP_MP_INBIDD.xlsx","ticketuuid": "FAFFDFFC66021FE0A3DBF87045F80247" },</v>
      </c>
      <c r="M5" t="s">
        <v>813</v>
      </c>
      <c r="N5" s="8" t="str">
        <f>VLOOKUP(convertcsv[[#This Row],[neu]],Tabelle1!$A$1:$A$55,1,FALSE)</f>
        <v>_WRP_MP_INBIDD.xlsx</v>
      </c>
      <c r="O5" s="8" t="str">
        <f>REPLACE(convertcsv[[#This Row],[filename]],FIND(".htm",convertcsv[[#This Row],[filename]]),4,".xlsx")</f>
        <v>_WRP_MP_INBIDD.xlsx</v>
      </c>
      <c r="P5" s="8" t="str">
        <f>convertcsv[[#This Row],[ticketuid]] &amp; "," &amp; convertcsv[[#This Row],[neu]]</f>
        <v>FAFFDFFC66021FE0A3DBF87045F80247,_WRP_MP_INBIDD.xlsx</v>
      </c>
    </row>
    <row r="6" spans="1:16" x14ac:dyDescent="0.25">
      <c r="A6" t="s">
        <v>511</v>
      </c>
      <c r="B6" t="s">
        <v>501</v>
      </c>
      <c r="C6" t="s">
        <v>502</v>
      </c>
      <c r="D6" t="s">
        <v>506</v>
      </c>
      <c r="E6" t="s">
        <v>503</v>
      </c>
      <c r="F6" t="s">
        <v>493</v>
      </c>
      <c r="G6" t="s">
        <v>504</v>
      </c>
      <c r="H6">
        <v>10967539</v>
      </c>
      <c r="I6" t="s">
        <v>902</v>
      </c>
      <c r="J6" t="s">
        <v>311</v>
      </c>
      <c r="K6" t="s">
        <v>724</v>
      </c>
      <c r="L6" t="str">
        <f>_xlfn.CONCAT("{ ",CHAR(34),"filename",CHAR(34),": ",CHAR(34),convertcsv[[#This Row],[neu]],CHAR(34),",",CHAR(34),"ticketuuid",CHAR(34),":"," ",CHAR(34),convertcsv[[#This Row],[ticketuid]],CHAR(34)," },")</f>
        <v>{ "filename": "_WUE_BATNUM_IND.xlsx","ticketuuid": "FAFFDFFC66021FD0A3DBF6B925D612DF" },</v>
      </c>
      <c r="M6" t="s">
        <v>814</v>
      </c>
      <c r="N6" s="8" t="str">
        <f>VLOOKUP(convertcsv[[#This Row],[neu]],Tabelle1!$A$1:$A$55,1,FALSE)</f>
        <v>_WUE_BATNUM_IND.xlsx</v>
      </c>
      <c r="O6" s="8" t="str">
        <f>REPLACE(convertcsv[[#This Row],[filename]],FIND(".htm",convertcsv[[#This Row],[filename]]),4,".xlsx")</f>
        <v>_WUE_BATNUM_IND.xlsx</v>
      </c>
      <c r="P6" s="8" t="str">
        <f>convertcsv[[#This Row],[ticketuid]] &amp; "," &amp; convertcsv[[#This Row],[neu]]</f>
        <v>FAFFDFFC66021FD0A3DBF6B925D612DF,_WUE_BATNUM_IND.xlsx</v>
      </c>
    </row>
    <row r="7" spans="1:16" x14ac:dyDescent="0.25">
      <c r="A7" t="s">
        <v>512</v>
      </c>
      <c r="B7" t="s">
        <v>501</v>
      </c>
      <c r="C7" t="s">
        <v>502</v>
      </c>
      <c r="D7" t="s">
        <v>506</v>
      </c>
      <c r="E7" t="s">
        <v>503</v>
      </c>
      <c r="F7" t="s">
        <v>493</v>
      </c>
      <c r="G7" t="s">
        <v>504</v>
      </c>
      <c r="H7">
        <v>10967538</v>
      </c>
      <c r="I7" t="s">
        <v>903</v>
      </c>
      <c r="J7" t="s">
        <v>298</v>
      </c>
      <c r="K7" t="s">
        <v>725</v>
      </c>
      <c r="L7" t="str">
        <f>_xlfn.CONCAT("{ ",CHAR(34),"filename",CHAR(34),": ",CHAR(34),convertcsv[[#This Row],[neu]],CHAR(34),",",CHAR(34),"ticketuuid",CHAR(34),":"," ",CHAR(34),convertcsv[[#This Row],[ticketuid]],CHAR(34)," },")</f>
        <v>{ "filename": "_WUE_MMC_PL_PO_P.xlsx","ticketuuid": "FAFFDFFC66021FD0A3DBF51AEA138EEB" },</v>
      </c>
      <c r="M7" t="s">
        <v>815</v>
      </c>
      <c r="N7" s="8" t="str">
        <f>VLOOKUP(convertcsv[[#This Row],[neu]],Tabelle1!$A$1:$A$55,1,FALSE)</f>
        <v>_WUE_MMC_PL_PO_P.xlsx</v>
      </c>
      <c r="O7" s="8" t="str">
        <f>REPLACE(convertcsv[[#This Row],[filename]],FIND(".htm",convertcsv[[#This Row],[filename]]),4,".xlsx")</f>
        <v>_WUE_MMC_PL_PO_P.xlsx</v>
      </c>
      <c r="P7" s="8" t="str">
        <f>convertcsv[[#This Row],[ticketuid]] &amp; "," &amp; convertcsv[[#This Row],[neu]]</f>
        <v>FAFFDFFC66021FD0A3DBF51AEA138EEB,_WUE_MMC_PL_PO_P.xlsx</v>
      </c>
    </row>
    <row r="8" spans="1:16" x14ac:dyDescent="0.25">
      <c r="A8" t="s">
        <v>513</v>
      </c>
      <c r="B8" t="s">
        <v>501</v>
      </c>
      <c r="C8" t="s">
        <v>502</v>
      </c>
      <c r="D8" t="s">
        <v>506</v>
      </c>
      <c r="E8" t="s">
        <v>503</v>
      </c>
      <c r="F8" t="s">
        <v>493</v>
      </c>
      <c r="G8" t="s">
        <v>504</v>
      </c>
      <c r="H8">
        <v>10967534</v>
      </c>
      <c r="I8" t="s">
        <v>904</v>
      </c>
      <c r="J8" t="s">
        <v>150</v>
      </c>
      <c r="K8" t="s">
        <v>726</v>
      </c>
      <c r="L8" t="str">
        <f>_xlfn.CONCAT("{ ",CHAR(34),"filename",CHAR(34),": ",CHAR(34),convertcsv[[#This Row],[neu]],CHAR(34),",",CHAR(34),"ticketuuid",CHAR(34),":"," ",CHAR(34),convertcsv[[#This Row],[ticketuid]],CHAR(34)," },")</f>
        <v>{ "filename": "_WUE_MMDIAB_PMAT.xlsx","ticketuuid": "FAFFDFFC66021FD0A3DBF36E5205D2DF" },</v>
      </c>
      <c r="M8" t="s">
        <v>816</v>
      </c>
      <c r="N8" s="8" t="str">
        <f>VLOOKUP(convertcsv[[#This Row],[neu]],Tabelle1!$A$1:$A$55,1,FALSE)</f>
        <v>_WUE_MMDIAB_PMAT.xlsx</v>
      </c>
      <c r="O8" s="8" t="str">
        <f>REPLACE(convertcsv[[#This Row],[filename]],FIND(".htm",convertcsv[[#This Row],[filename]]),4,".xlsx")</f>
        <v>_WUE_MMDIAB_PMAT.xlsx</v>
      </c>
      <c r="P8" s="8" t="str">
        <f>convertcsv[[#This Row],[ticketuid]] &amp; "," &amp; convertcsv[[#This Row],[neu]]</f>
        <v>FAFFDFFC66021FD0A3DBF36E5205D2DF,_WUE_MMDIAB_PMAT.xlsx</v>
      </c>
    </row>
    <row r="9" spans="1:16" x14ac:dyDescent="0.25">
      <c r="A9" t="s">
        <v>514</v>
      </c>
      <c r="B9" t="s">
        <v>501</v>
      </c>
      <c r="C9" t="s">
        <v>502</v>
      </c>
      <c r="D9" t="s">
        <v>506</v>
      </c>
      <c r="E9" t="s">
        <v>503</v>
      </c>
      <c r="F9" t="s">
        <v>493</v>
      </c>
      <c r="G9" t="s">
        <v>504</v>
      </c>
      <c r="H9">
        <v>10967533</v>
      </c>
      <c r="I9" t="s">
        <v>905</v>
      </c>
      <c r="J9" t="s">
        <v>349</v>
      </c>
      <c r="K9" t="s">
        <v>727</v>
      </c>
      <c r="L9" t="str">
        <f>_xlfn.CONCAT("{ ",CHAR(34),"filename",CHAR(34),": ",CHAR(34),convertcsv[[#This Row],[neu]],CHAR(34),",",CHAR(34),"ticketuuid",CHAR(34),":"," ",CHAR(34),convertcsv[[#This Row],[ticketuid]],CHAR(34)," },")</f>
        <v>{ "filename": "_WUE_MMV_NRVPROT.xlsx","ticketuuid": "FAFFDFFC66021FD0A3DBF1A08D38596A" },</v>
      </c>
      <c r="M9" t="s">
        <v>817</v>
      </c>
      <c r="N9" s="8" t="str">
        <f>VLOOKUP(convertcsv[[#This Row],[neu]],Tabelle1!$A$1:$A$55,1,FALSE)</f>
        <v>_WUE_MMV_NRVPROT.xlsx</v>
      </c>
      <c r="O9" s="8" t="str">
        <f>REPLACE(convertcsv[[#This Row],[filename]],FIND(".htm",convertcsv[[#This Row],[filename]]),4,".xlsx")</f>
        <v>_WUE_MMV_NRVPROT.xlsx</v>
      </c>
      <c r="P9" s="8" t="str">
        <f>convertcsv[[#This Row],[ticketuid]] &amp; "," &amp; convertcsv[[#This Row],[neu]]</f>
        <v>FAFFDFFC66021FD0A3DBF1A08D38596A,_WUE_MMV_NRVPROT.xlsx</v>
      </c>
    </row>
    <row r="10" spans="1:16" x14ac:dyDescent="0.25">
      <c r="A10" t="s">
        <v>515</v>
      </c>
      <c r="B10" t="s">
        <v>501</v>
      </c>
      <c r="C10" t="s">
        <v>502</v>
      </c>
      <c r="D10" t="s">
        <v>506</v>
      </c>
      <c r="E10" t="s">
        <v>503</v>
      </c>
      <c r="F10" t="s">
        <v>493</v>
      </c>
      <c r="G10" t="s">
        <v>504</v>
      </c>
      <c r="H10">
        <v>10967531</v>
      </c>
      <c r="I10" t="s">
        <v>906</v>
      </c>
      <c r="J10" t="s">
        <v>179</v>
      </c>
      <c r="K10" t="s">
        <v>728</v>
      </c>
      <c r="L10" t="str">
        <f>_xlfn.CONCAT("{ ",CHAR(34),"filename",CHAR(34),": ",CHAR(34),convertcsv[[#This Row],[neu]],CHAR(34),",",CHAR(34),"ticketuuid",CHAR(34),":"," ",CHAR(34),convertcsv[[#This Row],[ticketuid]],CHAR(34)," },")</f>
        <v>{ "filename": "_WUE_MMV_TMSTAMP.xlsx","ticketuuid": "FAFFDFFC66021FD0A3DBEFD8D2B60E77" },</v>
      </c>
      <c r="M10" t="s">
        <v>818</v>
      </c>
      <c r="N10" s="8" t="str">
        <f>VLOOKUP(convertcsv[[#This Row],[neu]],Tabelle1!$A$1:$A$55,1,FALSE)</f>
        <v>_WUE_MMV_TMSTAMP.xlsx</v>
      </c>
      <c r="O10" s="8" t="str">
        <f>REPLACE(convertcsv[[#This Row],[filename]],FIND(".htm",convertcsv[[#This Row],[filename]]),4,".xlsx")</f>
        <v>_WUE_MMV_TMSTAMP.xlsx</v>
      </c>
      <c r="P10" s="8" t="str">
        <f>convertcsv[[#This Row],[ticketuid]] &amp; "," &amp; convertcsv[[#This Row],[neu]]</f>
        <v>FAFFDFFC66021FD0A3DBEFD8D2B60E77,_WUE_MMV_TMSTAMP.xlsx</v>
      </c>
    </row>
    <row r="11" spans="1:16" x14ac:dyDescent="0.25">
      <c r="A11" t="s">
        <v>516</v>
      </c>
      <c r="B11" t="s">
        <v>501</v>
      </c>
      <c r="C11" t="s">
        <v>502</v>
      </c>
      <c r="D11" t="s">
        <v>506</v>
      </c>
      <c r="E11" t="s">
        <v>503</v>
      </c>
      <c r="F11" t="s">
        <v>493</v>
      </c>
      <c r="G11" t="s">
        <v>504</v>
      </c>
      <c r="H11">
        <v>10967530</v>
      </c>
      <c r="I11" t="s">
        <v>907</v>
      </c>
      <c r="J11" t="s">
        <v>180</v>
      </c>
      <c r="K11" t="s">
        <v>729</v>
      </c>
      <c r="L11" t="str">
        <f>_xlfn.CONCAT("{ ",CHAR(34),"filename",CHAR(34),": ",CHAR(34),convertcsv[[#This Row],[neu]],CHAR(34),",",CHAR(34),"ticketuuid",CHAR(34),":"," ",CHAR(34),convertcsv[[#This Row],[ticketuid]],CHAR(34)," },")</f>
        <v>{ "filename": "_WUE_MMV_WKBASKE.xlsx","ticketuuid": "FAFFDFFC66021FD0A3DBEE21EC0DCFC3" },</v>
      </c>
      <c r="M11" t="s">
        <v>819</v>
      </c>
      <c r="N11" s="8" t="str">
        <f>VLOOKUP(convertcsv[[#This Row],[neu]],Tabelle1!$A$1:$A$55,1,FALSE)</f>
        <v>_WUE_MMV_WKBASKE.xlsx</v>
      </c>
      <c r="O11" s="8" t="str">
        <f>REPLACE(convertcsv[[#This Row],[filename]],FIND(".htm",convertcsv[[#This Row],[filename]]),4,".xlsx")</f>
        <v>_WUE_MMV_WKBASKE.xlsx</v>
      </c>
      <c r="P11" s="8" t="str">
        <f>convertcsv[[#This Row],[ticketuid]] &amp; "," &amp; convertcsv[[#This Row],[neu]]</f>
        <v>FAFFDFFC66021FD0A3DBEE21EC0DCFC3,_WUE_MMV_WKBASKE.xlsx</v>
      </c>
    </row>
    <row r="12" spans="1:16" x14ac:dyDescent="0.25">
      <c r="A12" t="s">
        <v>517</v>
      </c>
      <c r="B12" t="s">
        <v>501</v>
      </c>
      <c r="C12" t="s">
        <v>502</v>
      </c>
      <c r="D12" t="s">
        <v>506</v>
      </c>
      <c r="E12" t="s">
        <v>503</v>
      </c>
      <c r="F12" t="s">
        <v>493</v>
      </c>
      <c r="G12" t="s">
        <v>504</v>
      </c>
      <c r="H12">
        <v>10967528</v>
      </c>
      <c r="I12" t="s">
        <v>908</v>
      </c>
      <c r="J12" t="s">
        <v>166</v>
      </c>
      <c r="K12" t="s">
        <v>730</v>
      </c>
      <c r="L12" t="str">
        <f>_xlfn.CONCAT("{ ",CHAR(34),"filename",CHAR(34),": ",CHAR(34),convertcsv[[#This Row],[neu]],CHAR(34),",",CHAR(34),"ticketuuid",CHAR(34),":"," ",CHAR(34),convertcsv[[#This Row],[ticketuid]],CHAR(34)," },")</f>
        <v>{ "filename": "_WUE_MP_ZSVW_ACC.xlsx","ticketuuid": "FAFFDFFC66021FD0A3DBEBCBE1A19F55" },</v>
      </c>
      <c r="M12" t="s">
        <v>820</v>
      </c>
      <c r="N12" s="8" t="str">
        <f>VLOOKUP(convertcsv[[#This Row],[neu]],Tabelle1!$A$1:$A$55,1,FALSE)</f>
        <v>_WUE_MP_ZSVW_ACC.xlsx</v>
      </c>
      <c r="O12" s="8" t="str">
        <f>REPLACE(convertcsv[[#This Row],[filename]],FIND(".htm",convertcsv[[#This Row],[filename]]),4,".xlsx")</f>
        <v>_WUE_MP_ZSVW_ACC.xlsx</v>
      </c>
      <c r="P12" s="8" t="str">
        <f>convertcsv[[#This Row],[ticketuid]] &amp; "," &amp; convertcsv[[#This Row],[neu]]</f>
        <v>FAFFDFFC66021FD0A3DBEBCBE1A19F55,_WUE_MP_ZSVW_ACC.xlsx</v>
      </c>
    </row>
    <row r="13" spans="1:16" x14ac:dyDescent="0.25">
      <c r="A13" t="s">
        <v>518</v>
      </c>
      <c r="B13" t="s">
        <v>501</v>
      </c>
      <c r="C13" t="s">
        <v>502</v>
      </c>
      <c r="D13" t="s">
        <v>506</v>
      </c>
      <c r="E13" t="s">
        <v>503</v>
      </c>
      <c r="F13" t="s">
        <v>493</v>
      </c>
      <c r="G13" t="s">
        <v>504</v>
      </c>
      <c r="H13">
        <v>10967527</v>
      </c>
      <c r="I13" t="s">
        <v>909</v>
      </c>
      <c r="J13" t="s">
        <v>371</v>
      </c>
      <c r="K13" t="s">
        <v>731</v>
      </c>
      <c r="L13" t="str">
        <f>_xlfn.CONCAT("{ ",CHAR(34),"filename",CHAR(34),": ",CHAR(34),convertcsv[[#This Row],[neu]],CHAR(34),",",CHAR(34),"ticketuuid",CHAR(34),":"," ",CHAR(34),convertcsv[[#This Row],[ticketuid]],CHAR(34)," },")</f>
        <v>{ "filename": "A016.xlsx","ticketuuid": "FAFFDFFC66021FD0A3DBEA06078E98A6" },</v>
      </c>
      <c r="M13" t="s">
        <v>821</v>
      </c>
      <c r="N13" s="8" t="str">
        <f>VLOOKUP(convertcsv[[#This Row],[neu]],Tabelle1!$A$1:$A$55,1,FALSE)</f>
        <v>A016.xlsx</v>
      </c>
      <c r="O13" s="8" t="str">
        <f>REPLACE(convertcsv[[#This Row],[filename]],FIND(".htm",convertcsv[[#This Row],[filename]]),4,".xlsx")</f>
        <v>A016.xlsx</v>
      </c>
      <c r="P13" s="8" t="str">
        <f>convertcsv[[#This Row],[ticketuid]] &amp; "," &amp; convertcsv[[#This Row],[neu]]</f>
        <v>FAFFDFFC66021FD0A3DBEA06078E98A6,A016.xlsx</v>
      </c>
    </row>
    <row r="14" spans="1:16" x14ac:dyDescent="0.25">
      <c r="A14" t="s">
        <v>519</v>
      </c>
      <c r="B14" t="s">
        <v>501</v>
      </c>
      <c r="C14" t="s">
        <v>502</v>
      </c>
      <c r="D14" t="s">
        <v>506</v>
      </c>
      <c r="E14" t="s">
        <v>503</v>
      </c>
      <c r="F14" t="s">
        <v>493</v>
      </c>
      <c r="G14" t="s">
        <v>504</v>
      </c>
      <c r="H14">
        <v>10967525</v>
      </c>
      <c r="I14" t="s">
        <v>910</v>
      </c>
      <c r="J14" t="s">
        <v>372</v>
      </c>
      <c r="K14" t="s">
        <v>732</v>
      </c>
      <c r="L14" t="str">
        <f>_xlfn.CONCAT("{ ",CHAR(34),"filename",CHAR(34),": ",CHAR(34),convertcsv[[#This Row],[neu]],CHAR(34),",",CHAR(34),"ticketuuid",CHAR(34),":"," ",CHAR(34),convertcsv[[#This Row],[ticketuid]],CHAR(34)," },")</f>
        <v>{ "filename": "A017.xlsx","ticketuuid": "FAFFDFFC66021FD0A3DBE847040A1C10" },</v>
      </c>
      <c r="M14" t="s">
        <v>822</v>
      </c>
      <c r="N14" s="8" t="str">
        <f>VLOOKUP(convertcsv[[#This Row],[neu]],Tabelle1!$A$1:$A$55,1,FALSE)</f>
        <v>A017.xlsx</v>
      </c>
      <c r="O14" s="8" t="str">
        <f>REPLACE(convertcsv[[#This Row],[filename]],FIND(".htm",convertcsv[[#This Row],[filename]]),4,".xlsx")</f>
        <v>A017.xlsx</v>
      </c>
      <c r="P14" s="8" t="str">
        <f>convertcsv[[#This Row],[ticketuid]] &amp; "," &amp; convertcsv[[#This Row],[neu]]</f>
        <v>FAFFDFFC66021FD0A3DBE847040A1C10,A017.xlsx</v>
      </c>
    </row>
    <row r="15" spans="1:16" x14ac:dyDescent="0.25">
      <c r="A15" t="s">
        <v>520</v>
      </c>
      <c r="B15" t="s">
        <v>501</v>
      </c>
      <c r="C15" t="s">
        <v>502</v>
      </c>
      <c r="D15" t="s">
        <v>506</v>
      </c>
      <c r="E15" t="s">
        <v>503</v>
      </c>
      <c r="F15" t="s">
        <v>493</v>
      </c>
      <c r="G15" t="s">
        <v>504</v>
      </c>
      <c r="H15">
        <v>10967523</v>
      </c>
      <c r="I15" t="s">
        <v>911</v>
      </c>
      <c r="J15" t="s">
        <v>345</v>
      </c>
      <c r="K15" t="s">
        <v>733</v>
      </c>
      <c r="L15" t="str">
        <f>_xlfn.CONCAT("{ ",CHAR(34),"filename",CHAR(34),": ",CHAR(34),convertcsv[[#This Row],[neu]],CHAR(34),",",CHAR(34),"ticketuuid",CHAR(34),":"," ",CHAR(34),convertcsv[[#This Row],[ticketuid]],CHAR(34)," },")</f>
        <v>{ "filename": "A018.xlsx","ticketuuid": "FAFFDFFC66021FD0A3DBE6897DCBD2DF" },</v>
      </c>
      <c r="M15" t="s">
        <v>823</v>
      </c>
      <c r="N15" s="8" t="str">
        <f>VLOOKUP(convertcsv[[#This Row],[neu]],Tabelle1!$A$1:$A$55,1,FALSE)</f>
        <v>A018.xlsx</v>
      </c>
      <c r="O15" s="8" t="str">
        <f>REPLACE(convertcsv[[#This Row],[filename]],FIND(".htm",convertcsv[[#This Row],[filename]]),4,".xlsx")</f>
        <v>A018.xlsx</v>
      </c>
      <c r="P15" s="8" t="str">
        <f>convertcsv[[#This Row],[ticketuid]] &amp; "," &amp; convertcsv[[#This Row],[neu]]</f>
        <v>FAFFDFFC66021FD0A3DBE6897DCBD2DF,A018.xlsx</v>
      </c>
    </row>
    <row r="16" spans="1:16" x14ac:dyDescent="0.25">
      <c r="A16" t="s">
        <v>521</v>
      </c>
      <c r="B16" t="s">
        <v>501</v>
      </c>
      <c r="C16" t="s">
        <v>502</v>
      </c>
      <c r="D16" t="s">
        <v>506</v>
      </c>
      <c r="E16" t="s">
        <v>503</v>
      </c>
      <c r="F16" t="s">
        <v>493</v>
      </c>
      <c r="G16" t="s">
        <v>504</v>
      </c>
      <c r="H16">
        <v>10967522</v>
      </c>
      <c r="I16" t="s">
        <v>912</v>
      </c>
      <c r="J16" t="s">
        <v>205</v>
      </c>
      <c r="K16" t="s">
        <v>734</v>
      </c>
      <c r="L16" t="str">
        <f>_xlfn.CONCAT("{ ",CHAR(34),"filename",CHAR(34),": ",CHAR(34),convertcsv[[#This Row],[neu]],CHAR(34),",",CHAR(34),"ticketuuid",CHAR(34),":"," ",CHAR(34),convertcsv[[#This Row],[ticketuid]],CHAR(34)," },")</f>
        <v>{ "filename": "A044.xlsx","ticketuuid": "FAFFDFFC66021FD0A3DBE4E004E85576" },</v>
      </c>
      <c r="M16" t="s">
        <v>824</v>
      </c>
      <c r="N16" s="8" t="str">
        <f>VLOOKUP(convertcsv[[#This Row],[neu]],Tabelle1!$A$1:$A$55,1,FALSE)</f>
        <v>A044.xlsx</v>
      </c>
      <c r="O16" s="8" t="str">
        <f>REPLACE(convertcsv[[#This Row],[filename]],FIND(".htm",convertcsv[[#This Row],[filename]]),4,".xlsx")</f>
        <v>A044.xlsx</v>
      </c>
      <c r="P16" s="8" t="str">
        <f>convertcsv[[#This Row],[ticketuid]] &amp; "," &amp; convertcsv[[#This Row],[neu]]</f>
        <v>FAFFDFFC66021FD0A3DBE4E004E85576,A044.xlsx</v>
      </c>
    </row>
    <row r="17" spans="1:16" x14ac:dyDescent="0.25">
      <c r="A17" t="s">
        <v>522</v>
      </c>
      <c r="B17" t="s">
        <v>501</v>
      </c>
      <c r="C17" t="s">
        <v>502</v>
      </c>
      <c r="D17" t="s">
        <v>506</v>
      </c>
      <c r="E17" t="s">
        <v>503</v>
      </c>
      <c r="F17" t="s">
        <v>493</v>
      </c>
      <c r="G17" t="s">
        <v>504</v>
      </c>
      <c r="H17">
        <v>10967521</v>
      </c>
      <c r="I17" t="s">
        <v>913</v>
      </c>
      <c r="J17" t="s">
        <v>228</v>
      </c>
      <c r="K17" t="s">
        <v>735</v>
      </c>
      <c r="L17" t="str">
        <f>_xlfn.CONCAT("{ ",CHAR(34),"filename",CHAR(34),": ",CHAR(34),convertcsv[[#This Row],[neu]],CHAR(34),",",CHAR(34),"ticketuuid",CHAR(34),":"," ",CHAR(34),convertcsv[[#This Row],[ticketuid]],CHAR(34)," },")</f>
        <v>{ "filename": "A619.xlsx","ticketuuid": "FAFFDFFC66021FD0A3DBE31C4E3ED5F3" },</v>
      </c>
      <c r="M17" t="s">
        <v>825</v>
      </c>
      <c r="N17" s="8" t="str">
        <f>VLOOKUP(convertcsv[[#This Row],[neu]],Tabelle1!$A$1:$A$55,1,FALSE)</f>
        <v>A619.xlsx</v>
      </c>
      <c r="O17" s="8" t="str">
        <f>REPLACE(convertcsv[[#This Row],[filename]],FIND(".htm",convertcsv[[#This Row],[filename]]),4,".xlsx")</f>
        <v>A619.xlsx</v>
      </c>
      <c r="P17" s="8" t="str">
        <f>convertcsv[[#This Row],[ticketuid]] &amp; "," &amp; convertcsv[[#This Row],[neu]]</f>
        <v>FAFFDFFC66021FD0A3DBE31C4E3ED5F3,A619.xlsx</v>
      </c>
    </row>
    <row r="18" spans="1:16" x14ac:dyDescent="0.25">
      <c r="A18" t="s">
        <v>523</v>
      </c>
      <c r="B18" t="s">
        <v>501</v>
      </c>
      <c r="C18" t="s">
        <v>502</v>
      </c>
      <c r="D18" t="s">
        <v>506</v>
      </c>
      <c r="E18" t="s">
        <v>503</v>
      </c>
      <c r="F18" t="s">
        <v>493</v>
      </c>
      <c r="G18" t="s">
        <v>504</v>
      </c>
      <c r="H18">
        <v>10967519</v>
      </c>
      <c r="I18" t="s">
        <v>914</v>
      </c>
      <c r="J18" t="s">
        <v>237</v>
      </c>
      <c r="K18" t="s">
        <v>736</v>
      </c>
      <c r="L18" t="str">
        <f>_xlfn.CONCAT("{ ",CHAR(34),"filename",CHAR(34),": ",CHAR(34),convertcsv[[#This Row],[neu]],CHAR(34),",",CHAR(34),"ticketuuid",CHAR(34),":"," ",CHAR(34),convertcsv[[#This Row],[ticketuid]],CHAR(34)," },")</f>
        <v>{ "filename": "A725.xlsx","ticketuuid": "FAFFDFFC66021FD0A3DBE16E11899E44" },</v>
      </c>
      <c r="M18" t="s">
        <v>826</v>
      </c>
      <c r="N18" s="8" t="str">
        <f>VLOOKUP(convertcsv[[#This Row],[neu]],Tabelle1!$A$1:$A$55,1,FALSE)</f>
        <v>A725.xlsx</v>
      </c>
      <c r="O18" s="8" t="str">
        <f>REPLACE(convertcsv[[#This Row],[filename]],FIND(".htm",convertcsv[[#This Row],[filename]]),4,".xlsx")</f>
        <v>A725.xlsx</v>
      </c>
      <c r="P18" s="8" t="str">
        <f>convertcsv[[#This Row],[ticketuid]] &amp; "," &amp; convertcsv[[#This Row],[neu]]</f>
        <v>FAFFDFFC66021FD0A3DBE16E11899E44,A725.xlsx</v>
      </c>
    </row>
    <row r="19" spans="1:16" x14ac:dyDescent="0.25">
      <c r="A19" t="s">
        <v>524</v>
      </c>
      <c r="B19" t="s">
        <v>501</v>
      </c>
      <c r="C19" t="s">
        <v>502</v>
      </c>
      <c r="D19" t="s">
        <v>506</v>
      </c>
      <c r="E19" t="s">
        <v>503</v>
      </c>
      <c r="F19" t="s">
        <v>493</v>
      </c>
      <c r="G19" t="s">
        <v>504</v>
      </c>
      <c r="H19">
        <v>10967518</v>
      </c>
      <c r="I19" t="s">
        <v>915</v>
      </c>
      <c r="J19" t="s">
        <v>247</v>
      </c>
      <c r="K19" t="s">
        <v>737</v>
      </c>
      <c r="L19" t="str">
        <f>_xlfn.CONCAT("{ ",CHAR(34),"filename",CHAR(34),": ",CHAR(34),convertcsv[[#This Row],[neu]],CHAR(34),",",CHAR(34),"ticketuuid",CHAR(34),":"," ",CHAR(34),convertcsv[[#This Row],[ticketuid]],CHAR(34)," },")</f>
        <v>{ "filename": "A915.xlsx","ticketuuid": "FAFFDFFC66021FD0A3DBDFC0BA949559" },</v>
      </c>
      <c r="M19" t="s">
        <v>827</v>
      </c>
      <c r="N19" s="8" t="str">
        <f>VLOOKUP(convertcsv[[#This Row],[neu]],Tabelle1!$A$1:$A$55,1,FALSE)</f>
        <v>A915.xlsx</v>
      </c>
      <c r="O19" s="8" t="str">
        <f>REPLACE(convertcsv[[#This Row],[filename]],FIND(".htm",convertcsv[[#This Row],[filename]]),4,".xlsx")</f>
        <v>A915.xlsx</v>
      </c>
      <c r="P19" s="8" t="str">
        <f>convertcsv[[#This Row],[ticketuid]] &amp; "," &amp; convertcsv[[#This Row],[neu]]</f>
        <v>FAFFDFFC66021FD0A3DBDFC0BA949559,A915.xlsx</v>
      </c>
    </row>
    <row r="20" spans="1:16" x14ac:dyDescent="0.25">
      <c r="A20" t="s">
        <v>525</v>
      </c>
      <c r="B20" t="s">
        <v>501</v>
      </c>
      <c r="C20" t="s">
        <v>502</v>
      </c>
      <c r="D20" t="s">
        <v>506</v>
      </c>
      <c r="E20" t="s">
        <v>503</v>
      </c>
      <c r="F20" t="s">
        <v>493</v>
      </c>
      <c r="G20" t="s">
        <v>504</v>
      </c>
      <c r="H20">
        <v>10967517</v>
      </c>
      <c r="I20" t="s">
        <v>916</v>
      </c>
      <c r="J20" t="s">
        <v>249</v>
      </c>
      <c r="K20" t="s">
        <v>738</v>
      </c>
      <c r="L20" t="str">
        <f>_xlfn.CONCAT("{ ",CHAR(34),"filename",CHAR(34),": ",CHAR(34),convertcsv[[#This Row],[neu]],CHAR(34),",",CHAR(34),"ticketuuid",CHAR(34),":"," ",CHAR(34),convertcsv[[#This Row],[ticketuid]],CHAR(34)," },")</f>
        <v>{ "filename": "A919.xlsx","ticketuuid": "FAFFDFFC66021FD0A3DBDE159FF28E77" },</v>
      </c>
      <c r="M20" t="s">
        <v>828</v>
      </c>
      <c r="N20" s="8" t="str">
        <f>VLOOKUP(convertcsv[[#This Row],[neu]],Tabelle1!$A$1:$A$55,1,FALSE)</f>
        <v>A919.xlsx</v>
      </c>
      <c r="O20" s="8" t="str">
        <f>REPLACE(convertcsv[[#This Row],[filename]],FIND(".htm",convertcsv[[#This Row],[filename]]),4,".xlsx")</f>
        <v>A919.xlsx</v>
      </c>
      <c r="P20" s="8" t="str">
        <f>convertcsv[[#This Row],[ticketuid]] &amp; "," &amp; convertcsv[[#This Row],[neu]]</f>
        <v>FAFFDFFC66021FD0A3DBDE159FF28E77,A919.xlsx</v>
      </c>
    </row>
    <row r="21" spans="1:16" x14ac:dyDescent="0.25">
      <c r="A21" t="s">
        <v>526</v>
      </c>
      <c r="B21" t="s">
        <v>501</v>
      </c>
      <c r="C21" t="s">
        <v>502</v>
      </c>
      <c r="D21" t="s">
        <v>506</v>
      </c>
      <c r="E21" t="s">
        <v>503</v>
      </c>
      <c r="F21" t="s">
        <v>493</v>
      </c>
      <c r="G21" t="s">
        <v>504</v>
      </c>
      <c r="H21">
        <v>10967514</v>
      </c>
      <c r="I21" t="s">
        <v>917</v>
      </c>
      <c r="J21" t="s">
        <v>184</v>
      </c>
      <c r="K21" t="s">
        <v>739</v>
      </c>
      <c r="L21" t="str">
        <f>_xlfn.CONCAT("{ ",CHAR(34),"filename",CHAR(34),": ",CHAR(34),convertcsv[[#This Row],[neu]],CHAR(34),",",CHAR(34),"ticketuuid",CHAR(34),":"," ",CHAR(34),convertcsv[[#This Row],[ticketuid]],CHAR(34)," },")</f>
        <v>{ "filename": "B025.xlsx","ticketuuid": "FAFFDFFC66021FD0A3DBDC631A6C4D65" },</v>
      </c>
      <c r="M21" t="s">
        <v>829</v>
      </c>
      <c r="N21" s="8" t="str">
        <f>VLOOKUP(convertcsv[[#This Row],[neu]],Tabelle1!$A$1:$A$55,1,FALSE)</f>
        <v>B025.xlsx</v>
      </c>
      <c r="O21" s="8" t="str">
        <f>REPLACE(convertcsv[[#This Row],[filename]],FIND(".htm",convertcsv[[#This Row],[filename]]),4,".xlsx")</f>
        <v>B025.xlsx</v>
      </c>
      <c r="P21" s="8" t="str">
        <f>convertcsv[[#This Row],[ticketuid]] &amp; "," &amp; convertcsv[[#This Row],[neu]]</f>
        <v>FAFFDFFC66021FD0A3DBDC631A6C4D65,B025.xlsx</v>
      </c>
    </row>
    <row r="22" spans="1:16" x14ac:dyDescent="0.25">
      <c r="A22" t="s">
        <v>527</v>
      </c>
      <c r="B22" t="s">
        <v>501</v>
      </c>
      <c r="C22" t="s">
        <v>502</v>
      </c>
      <c r="D22" t="s">
        <v>506</v>
      </c>
      <c r="E22" t="s">
        <v>503</v>
      </c>
      <c r="F22" t="s">
        <v>493</v>
      </c>
      <c r="G22" t="s">
        <v>504</v>
      </c>
      <c r="H22">
        <v>10967512</v>
      </c>
      <c r="I22" t="s">
        <v>918</v>
      </c>
      <c r="J22" t="s">
        <v>183</v>
      </c>
      <c r="K22" t="s">
        <v>740</v>
      </c>
      <c r="L22" t="str">
        <f>_xlfn.CONCAT("{ ",CHAR(34),"filename",CHAR(34),": ",CHAR(34),convertcsv[[#This Row],[neu]],CHAR(34),",",CHAR(34),"ticketuuid",CHAR(34),":"," ",CHAR(34),convertcsv[[#This Row],[ticketuid]],CHAR(34)," },")</f>
        <v>{ "filename": "B027.xlsx","ticketuuid": "FAFFDFFC66021FE0A3DBDABE72C6DDDC" },</v>
      </c>
      <c r="M22" t="s">
        <v>830</v>
      </c>
      <c r="N22" s="8" t="str">
        <f>VLOOKUP(convertcsv[[#This Row],[neu]],Tabelle1!$A$1:$A$55,1,FALSE)</f>
        <v>B027.xlsx</v>
      </c>
      <c r="O22" s="8" t="str">
        <f>REPLACE(convertcsv[[#This Row],[filename]],FIND(".htm",convertcsv[[#This Row],[filename]]),4,".xlsx")</f>
        <v>B027.xlsx</v>
      </c>
      <c r="P22" s="8" t="str">
        <f>convertcsv[[#This Row],[ticketuid]] &amp; "," &amp; convertcsv[[#This Row],[neu]]</f>
        <v>FAFFDFFC66021FE0A3DBDABE72C6DDDC,B027.xlsx</v>
      </c>
    </row>
    <row r="23" spans="1:16" x14ac:dyDescent="0.25">
      <c r="A23" t="s">
        <v>528</v>
      </c>
      <c r="B23" t="s">
        <v>501</v>
      </c>
      <c r="C23" t="s">
        <v>502</v>
      </c>
      <c r="D23" t="s">
        <v>506</v>
      </c>
      <c r="E23" t="s">
        <v>503</v>
      </c>
      <c r="F23" t="s">
        <v>493</v>
      </c>
      <c r="G23" t="s">
        <v>504</v>
      </c>
      <c r="H23">
        <v>10967511</v>
      </c>
      <c r="I23" t="s">
        <v>919</v>
      </c>
      <c r="J23" t="s">
        <v>196</v>
      </c>
      <c r="K23" t="s">
        <v>741</v>
      </c>
      <c r="L23" t="str">
        <f>_xlfn.CONCAT("{ ",CHAR(34),"filename",CHAR(34),": ",CHAR(34),convertcsv[[#This Row],[neu]],CHAR(34),",",CHAR(34),"ticketuuid",CHAR(34),":"," ",CHAR(34),convertcsv[[#This Row],[ticketuid]],CHAR(34)," },")</f>
        <v>{ "filename": "B048.xlsx","ticketuuid": "FAFFDFFC66021FD0A3DBD9283C885EA8" },</v>
      </c>
      <c r="M23" t="s">
        <v>831</v>
      </c>
      <c r="N23" s="8" t="str">
        <f>VLOOKUP(convertcsv[[#This Row],[neu]],Tabelle1!$A$1:$A$55,1,FALSE)</f>
        <v>B048.xlsx</v>
      </c>
      <c r="O23" s="8" t="str">
        <f>REPLACE(convertcsv[[#This Row],[filename]],FIND(".htm",convertcsv[[#This Row],[filename]]),4,".xlsx")</f>
        <v>B048.xlsx</v>
      </c>
      <c r="P23" s="8" t="str">
        <f>convertcsv[[#This Row],[ticketuid]] &amp; "," &amp; convertcsv[[#This Row],[neu]]</f>
        <v>FAFFDFFC66021FD0A3DBD9283C885EA8,B048.xlsx</v>
      </c>
    </row>
    <row r="24" spans="1:16" x14ac:dyDescent="0.25">
      <c r="A24" t="s">
        <v>529</v>
      </c>
      <c r="B24" t="s">
        <v>501</v>
      </c>
      <c r="C24" t="s">
        <v>502</v>
      </c>
      <c r="D24" t="s">
        <v>506</v>
      </c>
      <c r="E24" t="s">
        <v>503</v>
      </c>
      <c r="F24" t="s">
        <v>493</v>
      </c>
      <c r="G24" t="s">
        <v>504</v>
      </c>
      <c r="H24">
        <v>10967510</v>
      </c>
      <c r="I24" t="s">
        <v>920</v>
      </c>
      <c r="J24" t="s">
        <v>197</v>
      </c>
      <c r="K24" t="s">
        <v>742</v>
      </c>
      <c r="L24" t="str">
        <f>_xlfn.CONCAT("{ ",CHAR(34),"filename",CHAR(34),": ",CHAR(34),convertcsv[[#This Row],[neu]],CHAR(34),",",CHAR(34),"ticketuuid",CHAR(34),":"," ",CHAR(34),convertcsv[[#This Row],[ticketuid]],CHAR(34)," },")</f>
        <v>{ "filename": "B049.xlsx","ticketuuid": "FAFFDFFC66021FD0A3DBD75FBA8098FA" },</v>
      </c>
      <c r="M24" t="s">
        <v>832</v>
      </c>
      <c r="N24" s="8" t="str">
        <f>VLOOKUP(convertcsv[[#This Row],[neu]],Tabelle1!$A$1:$A$55,1,FALSE)</f>
        <v>B049.xlsx</v>
      </c>
      <c r="O24" s="8" t="str">
        <f>REPLACE(convertcsv[[#This Row],[filename]],FIND(".htm",convertcsv[[#This Row],[filename]]),4,".xlsx")</f>
        <v>B049.xlsx</v>
      </c>
      <c r="P24" s="8" t="str">
        <f>convertcsv[[#This Row],[ticketuid]] &amp; "," &amp; convertcsv[[#This Row],[neu]]</f>
        <v>FAFFDFFC66021FD0A3DBD75FBA8098FA,B049.xlsx</v>
      </c>
    </row>
    <row r="25" spans="1:16" x14ac:dyDescent="0.25">
      <c r="A25" t="s">
        <v>530</v>
      </c>
      <c r="B25" t="s">
        <v>501</v>
      </c>
      <c r="C25" t="s">
        <v>502</v>
      </c>
      <c r="D25" t="s">
        <v>506</v>
      </c>
      <c r="E25" t="s">
        <v>503</v>
      </c>
      <c r="F25" t="s">
        <v>493</v>
      </c>
      <c r="G25" t="s">
        <v>504</v>
      </c>
      <c r="H25">
        <v>10967509</v>
      </c>
      <c r="I25" t="s">
        <v>921</v>
      </c>
      <c r="J25" t="s">
        <v>351</v>
      </c>
      <c r="K25" t="s">
        <v>743</v>
      </c>
      <c r="L25" t="str">
        <f>_xlfn.CONCAT("{ ",CHAR(34),"filename",CHAR(34),": ",CHAR(34),convertcsv[[#This Row],[neu]],CHAR(34),",",CHAR(34),"ticketuuid",CHAR(34),":"," ",CHAR(34),convertcsv[[#This Row],[ticketuid]],CHAR(34)," },")</f>
        <v>{ "filename": "EBAN.xlsx","ticketuuid": "FAFFDFFC66021FD0A3DBD58ED4F8CE77" },</v>
      </c>
      <c r="M25" t="s">
        <v>833</v>
      </c>
      <c r="N25" s="8" t="str">
        <f>VLOOKUP(convertcsv[[#This Row],[neu]],Tabelle1!$A$1:$A$55,1,FALSE)</f>
        <v>EBAN.xlsx</v>
      </c>
      <c r="O25" s="8" t="str">
        <f>REPLACE(convertcsv[[#This Row],[filename]],FIND(".htm",convertcsv[[#This Row],[filename]]),4,".xlsx")</f>
        <v>EBAN.xlsx</v>
      </c>
      <c r="P25" s="8" t="str">
        <f>convertcsv[[#This Row],[ticketuid]] &amp; "," &amp; convertcsv[[#This Row],[neu]]</f>
        <v>FAFFDFFC66021FD0A3DBD58ED4F8CE77,EBAN.xlsx</v>
      </c>
    </row>
    <row r="26" spans="1:16" x14ac:dyDescent="0.25">
      <c r="A26" t="s">
        <v>531</v>
      </c>
      <c r="B26" t="s">
        <v>501</v>
      </c>
      <c r="C26" t="s">
        <v>502</v>
      </c>
      <c r="D26" t="s">
        <v>506</v>
      </c>
      <c r="E26" t="s">
        <v>503</v>
      </c>
      <c r="F26" t="s">
        <v>493</v>
      </c>
      <c r="G26" t="s">
        <v>504</v>
      </c>
      <c r="H26">
        <v>10967508</v>
      </c>
      <c r="I26" t="s">
        <v>922</v>
      </c>
      <c r="J26" t="s">
        <v>132</v>
      </c>
      <c r="K26" t="s">
        <v>744</v>
      </c>
      <c r="L26" t="str">
        <f>_xlfn.CONCAT("{ ",CHAR(34),"filename",CHAR(34),": ",CHAR(34),convertcsv[[#This Row],[neu]],CHAR(34),",",CHAR(34),"ticketuuid",CHAR(34),":"," ",CHAR(34),convertcsv[[#This Row],[ticketuid]],CHAR(34)," },")</f>
        <v>{ "filename": "EBEW.xlsx","ticketuuid": "FAFFDFFC66021FD0A3DBD3D4C0DB9A8C" },</v>
      </c>
      <c r="M26" t="s">
        <v>834</v>
      </c>
      <c r="N26" s="8" t="str">
        <f>VLOOKUP(convertcsv[[#This Row],[neu]],Tabelle1!$A$1:$A$55,1,FALSE)</f>
        <v>EBEW.xlsx</v>
      </c>
      <c r="O26" s="8" t="str">
        <f>REPLACE(convertcsv[[#This Row],[filename]],FIND(".htm",convertcsv[[#This Row],[filename]]),4,".xlsx")</f>
        <v>EBEW.xlsx</v>
      </c>
      <c r="P26" s="8" t="str">
        <f>convertcsv[[#This Row],[ticketuid]] &amp; "," &amp; convertcsv[[#This Row],[neu]]</f>
        <v>FAFFDFFC66021FD0A3DBD3D4C0DB9A8C,EBEW.xlsx</v>
      </c>
    </row>
    <row r="27" spans="1:16" x14ac:dyDescent="0.25">
      <c r="A27" t="s">
        <v>532</v>
      </c>
      <c r="B27" t="s">
        <v>501</v>
      </c>
      <c r="C27" t="s">
        <v>502</v>
      </c>
      <c r="D27" t="s">
        <v>506</v>
      </c>
      <c r="E27" t="s">
        <v>503</v>
      </c>
      <c r="F27" t="s">
        <v>493</v>
      </c>
      <c r="G27" t="s">
        <v>504</v>
      </c>
      <c r="H27">
        <v>10967507</v>
      </c>
      <c r="I27" t="s">
        <v>923</v>
      </c>
      <c r="J27" t="s">
        <v>352</v>
      </c>
      <c r="K27" t="s">
        <v>745</v>
      </c>
      <c r="L27" t="str">
        <f>_xlfn.CONCAT("{ ",CHAR(34),"filename",CHAR(34),": ",CHAR(34),convertcsv[[#This Row],[neu]],CHAR(34),",",CHAR(34),"ticketuuid",CHAR(34),":"," ",CHAR(34),convertcsv[[#This Row],[ticketuid]],CHAR(34)," },")</f>
        <v>{ "filename": "EBKN.xlsx","ticketuuid": "FAFFDFFC66021FD0A3DBD206A13FDC87" },</v>
      </c>
      <c r="M27" t="s">
        <v>835</v>
      </c>
      <c r="N27" s="8" t="str">
        <f>VLOOKUP(convertcsv[[#This Row],[neu]],Tabelle1!$A$1:$A$55,1,FALSE)</f>
        <v>EBKN.xlsx</v>
      </c>
      <c r="O27" s="8" t="str">
        <f>REPLACE(convertcsv[[#This Row],[filename]],FIND(".htm",convertcsv[[#This Row],[filename]]),4,".xlsx")</f>
        <v>EBKN.xlsx</v>
      </c>
      <c r="P27" s="8" t="str">
        <f>convertcsv[[#This Row],[ticketuid]] &amp; "," &amp; convertcsv[[#This Row],[neu]]</f>
        <v>FAFFDFFC66021FD0A3DBD206A13FDC87,EBKN.xlsx</v>
      </c>
    </row>
    <row r="28" spans="1:16" x14ac:dyDescent="0.25">
      <c r="A28" t="s">
        <v>533</v>
      </c>
      <c r="B28" t="s">
        <v>501</v>
      </c>
      <c r="C28" t="s">
        <v>502</v>
      </c>
      <c r="D28" t="s">
        <v>506</v>
      </c>
      <c r="E28" t="s">
        <v>503</v>
      </c>
      <c r="F28" t="s">
        <v>493</v>
      </c>
      <c r="G28" t="s">
        <v>504</v>
      </c>
      <c r="H28">
        <v>10967506</v>
      </c>
      <c r="I28" t="s">
        <v>924</v>
      </c>
      <c r="J28" t="s">
        <v>343</v>
      </c>
      <c r="K28" t="s">
        <v>746</v>
      </c>
      <c r="L28" t="str">
        <f>_xlfn.CONCAT("{ ",CHAR(34),"filename",CHAR(34),": ",CHAR(34),convertcsv[[#This Row],[neu]],CHAR(34),",",CHAR(34),"ticketuuid",CHAR(34),":"," ",CHAR(34),convertcsv[[#This Row],[ticketuid]],CHAR(34)," },")</f>
        <v>{ "filename": "EINA.xlsx","ticketuuid": "FAFFDFFC66021FE0A3DBD055C3040219" },</v>
      </c>
      <c r="M28" t="s">
        <v>836</v>
      </c>
      <c r="N28" s="8" t="str">
        <f>VLOOKUP(convertcsv[[#This Row],[neu]],Tabelle1!$A$1:$A$55,1,FALSE)</f>
        <v>EINA.xlsx</v>
      </c>
      <c r="O28" s="8" t="str">
        <f>REPLACE(convertcsv[[#This Row],[filename]],FIND(".htm",convertcsv[[#This Row],[filename]]),4,".xlsx")</f>
        <v>EINA.xlsx</v>
      </c>
      <c r="P28" s="8" t="str">
        <f>convertcsv[[#This Row],[ticketuid]] &amp; "," &amp; convertcsv[[#This Row],[neu]]</f>
        <v>FAFFDFFC66021FE0A3DBD055C3040219,EINA.xlsx</v>
      </c>
    </row>
    <row r="29" spans="1:16" x14ac:dyDescent="0.25">
      <c r="A29" t="s">
        <v>534</v>
      </c>
      <c r="B29" t="s">
        <v>501</v>
      </c>
      <c r="C29" t="s">
        <v>502</v>
      </c>
      <c r="D29" t="s">
        <v>506</v>
      </c>
      <c r="E29" t="s">
        <v>503</v>
      </c>
      <c r="F29" t="s">
        <v>493</v>
      </c>
      <c r="G29" t="s">
        <v>504</v>
      </c>
      <c r="H29">
        <v>10967505</v>
      </c>
      <c r="I29" t="s">
        <v>925</v>
      </c>
      <c r="J29" t="s">
        <v>344</v>
      </c>
      <c r="K29" t="s">
        <v>747</v>
      </c>
      <c r="L29" t="str">
        <f>_xlfn.CONCAT("{ ",CHAR(34),"filename",CHAR(34),": ",CHAR(34),convertcsv[[#This Row],[neu]],CHAR(34),",",CHAR(34),"ticketuuid",CHAR(34),":"," ",CHAR(34),convertcsv[[#This Row],[ticketuid]],CHAR(34)," },")</f>
        <v>{ "filename": "EINE.xlsx","ticketuuid": "FAFFDFFC66021FD0A3DBCE5BA242C1C6" },</v>
      </c>
      <c r="M29" t="s">
        <v>837</v>
      </c>
      <c r="N29" s="8" t="e">
        <f>VLOOKUP(convertcsv[[#This Row],[neu]],Tabelle1!$A$1:$A$55,1,FALSE)</f>
        <v>#N/A</v>
      </c>
      <c r="O29" s="8" t="str">
        <f>REPLACE(convertcsv[[#This Row],[filename]],FIND(".htm",convertcsv[[#This Row],[filename]]),4,".xlsx")</f>
        <v>EINE.xlsx</v>
      </c>
      <c r="P29" s="8" t="str">
        <f>convertcsv[[#This Row],[ticketuid]] &amp; "," &amp; convertcsv[[#This Row],[neu]]</f>
        <v>FAFFDFFC66021FD0A3DBCE5BA242C1C6,EINE.xlsx</v>
      </c>
    </row>
    <row r="30" spans="1:16" x14ac:dyDescent="0.25">
      <c r="A30" t="s">
        <v>535</v>
      </c>
      <c r="B30" t="s">
        <v>501</v>
      </c>
      <c r="C30" t="s">
        <v>502</v>
      </c>
      <c r="D30" t="s">
        <v>506</v>
      </c>
      <c r="E30" t="s">
        <v>503</v>
      </c>
      <c r="F30" t="s">
        <v>493</v>
      </c>
      <c r="G30" t="s">
        <v>504</v>
      </c>
      <c r="H30">
        <v>10967504</v>
      </c>
      <c r="I30" t="s">
        <v>926</v>
      </c>
      <c r="J30" t="s">
        <v>341</v>
      </c>
      <c r="K30" t="s">
        <v>748</v>
      </c>
      <c r="L30" t="str">
        <f>_xlfn.CONCAT("{ ",CHAR(34),"filename",CHAR(34),": ",CHAR(34),convertcsv[[#This Row],[neu]],CHAR(34),",",CHAR(34),"ticketuuid",CHAR(34),":"," ",CHAR(34),convertcsv[[#This Row],[ticketuid]],CHAR(34)," },")</f>
        <v>{ "filename": "EKBE.xlsx","ticketuuid": "FAFFDFFC66021FD0A3DBCC67E04ACF2D" },</v>
      </c>
      <c r="M30" t="s">
        <v>838</v>
      </c>
      <c r="N30" s="8" t="str">
        <f>VLOOKUP(convertcsv[[#This Row],[neu]],Tabelle1!$A$1:$A$55,1,FALSE)</f>
        <v>EKBE.xlsx</v>
      </c>
      <c r="O30" s="8" t="str">
        <f>REPLACE(convertcsv[[#This Row],[filename]],FIND(".htm",convertcsv[[#This Row],[filename]]),4,".xlsx")</f>
        <v>EKBE.xlsx</v>
      </c>
      <c r="P30" s="8" t="str">
        <f>convertcsv[[#This Row],[ticketuid]] &amp; "," &amp; convertcsv[[#This Row],[neu]]</f>
        <v>FAFFDFFC66021FD0A3DBCC67E04ACF2D,EKBE.xlsx</v>
      </c>
    </row>
    <row r="31" spans="1:16" x14ac:dyDescent="0.25">
      <c r="A31" t="s">
        <v>536</v>
      </c>
      <c r="B31" t="s">
        <v>501</v>
      </c>
      <c r="C31" t="s">
        <v>502</v>
      </c>
      <c r="D31" t="s">
        <v>506</v>
      </c>
      <c r="E31" t="s">
        <v>503</v>
      </c>
      <c r="F31" t="s">
        <v>493</v>
      </c>
      <c r="G31" t="s">
        <v>504</v>
      </c>
      <c r="H31">
        <v>10967503</v>
      </c>
      <c r="I31" t="s">
        <v>927</v>
      </c>
      <c r="J31" t="s">
        <v>340</v>
      </c>
      <c r="K31" t="s">
        <v>749</v>
      </c>
      <c r="L31" t="str">
        <f>_xlfn.CONCAT("{ ",CHAR(34),"filename",CHAR(34),": ",CHAR(34),convertcsv[[#This Row],[neu]],CHAR(34),",",CHAR(34),"ticketuuid",CHAR(34),":"," ",CHAR(34),convertcsv[[#This Row],[ticketuid]],CHAR(34)," },")</f>
        <v>{ "filename": "EKES.xlsx","ticketuuid": "FAFFDFFC66021FD0A3DBC9ECE61F55DA" },</v>
      </c>
      <c r="M31" t="s">
        <v>839</v>
      </c>
      <c r="N31" s="8" t="str">
        <f>VLOOKUP(convertcsv[[#This Row],[neu]],Tabelle1!$A$1:$A$55,1,FALSE)</f>
        <v>EKES.xlsx</v>
      </c>
      <c r="O31" s="8" t="str">
        <f>REPLACE(convertcsv[[#This Row],[filename]],FIND(".htm",convertcsv[[#This Row],[filename]]),4,".xlsx")</f>
        <v>EKES.xlsx</v>
      </c>
      <c r="P31" s="8" t="str">
        <f>convertcsv[[#This Row],[ticketuid]] &amp; "," &amp; convertcsv[[#This Row],[neu]]</f>
        <v>FAFFDFFC66021FD0A3DBC9ECE61F55DA,EKES.xlsx</v>
      </c>
    </row>
    <row r="32" spans="1:16" x14ac:dyDescent="0.25">
      <c r="A32" t="s">
        <v>537</v>
      </c>
      <c r="B32" t="s">
        <v>501</v>
      </c>
      <c r="C32" t="s">
        <v>502</v>
      </c>
      <c r="D32" t="s">
        <v>506</v>
      </c>
      <c r="E32" t="s">
        <v>503</v>
      </c>
      <c r="F32" t="s">
        <v>493</v>
      </c>
      <c r="G32" t="s">
        <v>504</v>
      </c>
      <c r="H32">
        <v>10967501</v>
      </c>
      <c r="I32" t="s">
        <v>928</v>
      </c>
      <c r="J32" t="s">
        <v>339</v>
      </c>
      <c r="K32" t="s">
        <v>750</v>
      </c>
      <c r="L32" t="str">
        <f>_xlfn.CONCAT("{ ",CHAR(34),"filename",CHAR(34),": ",CHAR(34),convertcsv[[#This Row],[neu]],CHAR(34),",",CHAR(34),"ticketuuid",CHAR(34),":"," ",CHAR(34),convertcsv[[#This Row],[ticketuid]],CHAR(34)," },")</f>
        <v>{ "filename": "EKET.xlsx","ticketuuid": "FAFFDFFC66021FD0A3DBC818101C5A77" },</v>
      </c>
      <c r="M32" t="s">
        <v>840</v>
      </c>
      <c r="N32" s="8" t="str">
        <f>VLOOKUP(convertcsv[[#This Row],[neu]],Tabelle1!$A$1:$A$55,1,FALSE)</f>
        <v>EKET.xlsx</v>
      </c>
      <c r="O32" s="8" t="str">
        <f>REPLACE(convertcsv[[#This Row],[filename]],FIND(".htm",convertcsv[[#This Row],[filename]]),4,".xlsx")</f>
        <v>EKET.xlsx</v>
      </c>
      <c r="P32" s="8" t="str">
        <f>convertcsv[[#This Row],[ticketuid]] &amp; "," &amp; convertcsv[[#This Row],[neu]]</f>
        <v>FAFFDFFC66021FD0A3DBC818101C5A77,EKET.xlsx</v>
      </c>
    </row>
    <row r="33" spans="1:16" x14ac:dyDescent="0.25">
      <c r="A33" t="s">
        <v>538</v>
      </c>
      <c r="B33" t="s">
        <v>501</v>
      </c>
      <c r="C33" t="s">
        <v>502</v>
      </c>
      <c r="D33" t="s">
        <v>506</v>
      </c>
      <c r="E33" t="s">
        <v>503</v>
      </c>
      <c r="F33" t="s">
        <v>493</v>
      </c>
      <c r="G33" t="s">
        <v>504</v>
      </c>
      <c r="H33">
        <v>10967499</v>
      </c>
      <c r="I33" t="s">
        <v>929</v>
      </c>
      <c r="J33" t="s">
        <v>342</v>
      </c>
      <c r="K33" t="s">
        <v>751</v>
      </c>
      <c r="L33" t="str">
        <f>_xlfn.CONCAT("{ ",CHAR(34),"filename",CHAR(34),": ",CHAR(34),convertcsv[[#This Row],[neu]],CHAR(34),",",CHAR(34),"ticketuuid",CHAR(34),":"," ",CHAR(34),convertcsv[[#This Row],[ticketuid]],CHAR(34)," },")</f>
        <v>{ "filename": "EKKN.xlsx","ticketuuid": "FAFFDFFC66021FD0A3DBC60ED1E5D7C8" },</v>
      </c>
      <c r="M33" t="s">
        <v>841</v>
      </c>
      <c r="N33" s="8" t="str">
        <f>VLOOKUP(convertcsv[[#This Row],[neu]],Tabelle1!$A$1:$A$55,1,FALSE)</f>
        <v>EKKN.xlsx</v>
      </c>
      <c r="O33" s="8" t="str">
        <f>REPLACE(convertcsv[[#This Row],[filename]],FIND(".htm",convertcsv[[#This Row],[filename]]),4,".xlsx")</f>
        <v>EKKN.xlsx</v>
      </c>
      <c r="P33" s="8" t="str">
        <f>convertcsv[[#This Row],[ticketuid]] &amp; "," &amp; convertcsv[[#This Row],[neu]]</f>
        <v>FAFFDFFC66021FD0A3DBC60ED1E5D7C8,EKKN.xlsx</v>
      </c>
    </row>
    <row r="34" spans="1:16" x14ac:dyDescent="0.25">
      <c r="A34" t="s">
        <v>539</v>
      </c>
      <c r="B34" t="s">
        <v>501</v>
      </c>
      <c r="C34" t="s">
        <v>502</v>
      </c>
      <c r="D34" t="s">
        <v>506</v>
      </c>
      <c r="E34" t="s">
        <v>503</v>
      </c>
      <c r="F34" t="s">
        <v>493</v>
      </c>
      <c r="G34" t="s">
        <v>504</v>
      </c>
      <c r="H34">
        <v>10967498</v>
      </c>
      <c r="I34" t="s">
        <v>930</v>
      </c>
      <c r="J34" t="s">
        <v>338</v>
      </c>
      <c r="K34" t="s">
        <v>752</v>
      </c>
      <c r="L34" t="str">
        <f>_xlfn.CONCAT("{ ",CHAR(34),"filename",CHAR(34),": ",CHAR(34),convertcsv[[#This Row],[neu]],CHAR(34),",",CHAR(34),"ticketuuid",CHAR(34),":"," ",CHAR(34),convertcsv[[#This Row],[ticketuid]],CHAR(34)," },")</f>
        <v>{ "filename": "EKPA.xlsx","ticketuuid": "FAFFDFFC66021FE0A3DBC44AAEE91F12" },</v>
      </c>
      <c r="M34" t="s">
        <v>842</v>
      </c>
      <c r="N34" s="8" t="str">
        <f>VLOOKUP(convertcsv[[#This Row],[neu]],Tabelle1!$A$1:$A$55,1,FALSE)</f>
        <v>EKPA.xlsx</v>
      </c>
      <c r="O34" s="8" t="str">
        <f>REPLACE(convertcsv[[#This Row],[filename]],FIND(".htm",convertcsv[[#This Row],[filename]]),4,".xlsx")</f>
        <v>EKPA.xlsx</v>
      </c>
      <c r="P34" s="8" t="str">
        <f>convertcsv[[#This Row],[ticketuid]] &amp; "," &amp; convertcsv[[#This Row],[neu]]</f>
        <v>FAFFDFFC66021FE0A3DBC44AAEE91F12,EKPA.xlsx</v>
      </c>
    </row>
    <row r="35" spans="1:16" x14ac:dyDescent="0.25">
      <c r="A35" t="s">
        <v>540</v>
      </c>
      <c r="B35" t="s">
        <v>501</v>
      </c>
      <c r="C35" t="s">
        <v>502</v>
      </c>
      <c r="D35" t="s">
        <v>506</v>
      </c>
      <c r="E35" t="s">
        <v>503</v>
      </c>
      <c r="F35" t="s">
        <v>493</v>
      </c>
      <c r="G35" t="s">
        <v>504</v>
      </c>
      <c r="H35">
        <v>10967497</v>
      </c>
      <c r="I35" t="s">
        <v>931</v>
      </c>
      <c r="J35" t="s">
        <v>336</v>
      </c>
      <c r="K35" t="s">
        <v>753</v>
      </c>
      <c r="L35" t="str">
        <f>_xlfn.CONCAT("{ ",CHAR(34),"filename",CHAR(34),": ",CHAR(34),convertcsv[[#This Row],[neu]],CHAR(34),",",CHAR(34),"ticketuuid",CHAR(34),":"," ",CHAR(34),convertcsv[[#This Row],[ticketuid]],CHAR(34)," },")</f>
        <v>{ "filename": "EKKO.xlsx","ticketuuid": "FAFFDFFC66021FD0A3DBC26CA8891E44" },</v>
      </c>
      <c r="M35" t="s">
        <v>843</v>
      </c>
      <c r="N35" s="8" t="str">
        <f>VLOOKUP(convertcsv[[#This Row],[neu]],Tabelle1!$A$1:$A$55,1,FALSE)</f>
        <v>EKKO.xlsx</v>
      </c>
      <c r="O35" s="8" t="str">
        <f>REPLACE(convertcsv[[#This Row],[filename]],FIND(".htm",convertcsv[[#This Row],[filename]]),4,".xlsx")</f>
        <v>EKKO.xlsx</v>
      </c>
      <c r="P35" s="8" t="str">
        <f>convertcsv[[#This Row],[ticketuid]] &amp; "," &amp; convertcsv[[#This Row],[neu]]</f>
        <v>FAFFDFFC66021FD0A3DBC26CA8891E44,EKKO.xlsx</v>
      </c>
    </row>
    <row r="36" spans="1:16" x14ac:dyDescent="0.25">
      <c r="A36" t="s">
        <v>541</v>
      </c>
      <c r="B36" t="s">
        <v>501</v>
      </c>
      <c r="C36" t="s">
        <v>502</v>
      </c>
      <c r="D36" t="s">
        <v>506</v>
      </c>
      <c r="E36" t="s">
        <v>503</v>
      </c>
      <c r="F36" t="s">
        <v>493</v>
      </c>
      <c r="G36" t="s">
        <v>504</v>
      </c>
      <c r="H36">
        <v>10967496</v>
      </c>
      <c r="I36" t="s">
        <v>932</v>
      </c>
      <c r="J36" t="s">
        <v>337</v>
      </c>
      <c r="K36" t="s">
        <v>754</v>
      </c>
      <c r="L36" t="str">
        <f>_xlfn.CONCAT("{ ",CHAR(34),"filename",CHAR(34),": ",CHAR(34),convertcsv[[#This Row],[neu]],CHAR(34),",",CHAR(34),"ticketuuid",CHAR(34),":"," ",CHAR(34),convertcsv[[#This Row],[ticketuid]],CHAR(34)," },")</f>
        <v>{ "filename": "EKPO.xlsx","ticketuuid": "FAFFDFFC66021FD0A3DBC0BAA5B099C8" },</v>
      </c>
      <c r="M36" t="s">
        <v>844</v>
      </c>
      <c r="N36" s="8" t="e">
        <f>VLOOKUP(convertcsv[[#This Row],[neu]],Tabelle1!$A$1:$A$55,1,FALSE)</f>
        <v>#N/A</v>
      </c>
      <c r="O36" s="8" t="str">
        <f>REPLACE(convertcsv[[#This Row],[filename]],FIND(".htm",convertcsv[[#This Row],[filename]]),4,".xlsx")</f>
        <v>EKPO.xlsx</v>
      </c>
      <c r="P36" s="8" t="str">
        <f>convertcsv[[#This Row],[ticketuid]] &amp; "," &amp; convertcsv[[#This Row],[neu]]</f>
        <v>FAFFDFFC66021FD0A3DBC0BAA5B099C8,EKPO.xlsx</v>
      </c>
    </row>
    <row r="37" spans="1:16" x14ac:dyDescent="0.25">
      <c r="A37" t="s">
        <v>542</v>
      </c>
      <c r="B37" t="s">
        <v>501</v>
      </c>
      <c r="C37" t="s">
        <v>502</v>
      </c>
      <c r="D37" t="s">
        <v>506</v>
      </c>
      <c r="E37" t="s">
        <v>503</v>
      </c>
      <c r="F37" t="s">
        <v>493</v>
      </c>
      <c r="G37" t="s">
        <v>504</v>
      </c>
      <c r="H37">
        <v>10967495</v>
      </c>
      <c r="I37" t="s">
        <v>933</v>
      </c>
      <c r="J37" t="s">
        <v>143</v>
      </c>
      <c r="K37" t="s">
        <v>755</v>
      </c>
      <c r="L37" t="str">
        <f>_xlfn.CONCAT("{ ",CHAR(34),"filename",CHAR(34),": ",CHAR(34),convertcsv[[#This Row],[neu]],CHAR(34),",",CHAR(34),"ticketuuid",CHAR(34),":"," ",CHAR(34),convertcsv[[#This Row],[ticketuid]],CHAR(34)," },")</f>
        <v>{ "filename": "EQUK.xlsx","ticketuuid": "FAFFDFFC66021FD0A3DBBF2410BE59DC" },</v>
      </c>
      <c r="M37" t="s">
        <v>845</v>
      </c>
      <c r="N37" s="8" t="str">
        <f>VLOOKUP(convertcsv[[#This Row],[neu]],Tabelle1!$A$1:$A$55,1,FALSE)</f>
        <v>EQUK.xlsx</v>
      </c>
      <c r="O37" s="8" t="str">
        <f>REPLACE(convertcsv[[#This Row],[filename]],FIND(".htm",convertcsv[[#This Row],[filename]]),4,".xlsx")</f>
        <v>EQUK.xlsx</v>
      </c>
      <c r="P37" s="8" t="str">
        <f>convertcsv[[#This Row],[ticketuid]] &amp; "," &amp; convertcsv[[#This Row],[neu]]</f>
        <v>FAFFDFFC66021FD0A3DBBF2410BE59DC,EQUK.xlsx</v>
      </c>
    </row>
    <row r="38" spans="1:16" x14ac:dyDescent="0.25">
      <c r="A38" t="s">
        <v>543</v>
      </c>
      <c r="B38" t="s">
        <v>501</v>
      </c>
      <c r="C38" t="s">
        <v>502</v>
      </c>
      <c r="D38" t="s">
        <v>506</v>
      </c>
      <c r="E38" t="s">
        <v>503</v>
      </c>
      <c r="F38" t="s">
        <v>493</v>
      </c>
      <c r="G38" t="s">
        <v>504</v>
      </c>
      <c r="H38">
        <v>10967494</v>
      </c>
      <c r="I38" t="s">
        <v>934</v>
      </c>
      <c r="J38" t="s">
        <v>144</v>
      </c>
      <c r="K38" t="s">
        <v>756</v>
      </c>
      <c r="L38" t="str">
        <f>_xlfn.CONCAT("{ ",CHAR(34),"filename",CHAR(34),": ",CHAR(34),convertcsv[[#This Row],[neu]],CHAR(34),",",CHAR(34),"ticketuuid",CHAR(34),":"," ",CHAR(34),convertcsv[[#This Row],[ticketuid]],CHAR(34)," },")</f>
        <v>{ "filename": "EQUP.xlsx","ticketuuid": "FAFFDFFC66021FD0A3DBBDA324BE4D58" },</v>
      </c>
      <c r="M38" t="s">
        <v>846</v>
      </c>
      <c r="N38" s="8" t="str">
        <f>VLOOKUP(convertcsv[[#This Row],[neu]],Tabelle1!$A$1:$A$55,1,FALSE)</f>
        <v>EQUP.xlsx</v>
      </c>
      <c r="O38" s="8" t="str">
        <f>REPLACE(convertcsv[[#This Row],[filename]],FIND(".htm",convertcsv[[#This Row],[filename]]),4,".xlsx")</f>
        <v>EQUP.xlsx</v>
      </c>
      <c r="P38" s="8" t="str">
        <f>convertcsv[[#This Row],[ticketuid]] &amp; "," &amp; convertcsv[[#This Row],[neu]]</f>
        <v>FAFFDFFC66021FD0A3DBBDA324BE4D58,EQUP.xlsx</v>
      </c>
    </row>
    <row r="39" spans="1:16" x14ac:dyDescent="0.25">
      <c r="A39" t="s">
        <v>544</v>
      </c>
      <c r="B39" t="s">
        <v>501</v>
      </c>
      <c r="C39" t="s">
        <v>502</v>
      </c>
      <c r="D39" t="s">
        <v>506</v>
      </c>
      <c r="E39" t="s">
        <v>503</v>
      </c>
      <c r="F39" t="s">
        <v>493</v>
      </c>
      <c r="G39" t="s">
        <v>504</v>
      </c>
      <c r="H39">
        <v>10967492</v>
      </c>
      <c r="I39" t="s">
        <v>935</v>
      </c>
      <c r="J39" t="s">
        <v>163</v>
      </c>
      <c r="K39" t="s">
        <v>757</v>
      </c>
      <c r="L39" t="str">
        <f>_xlfn.CONCAT("{ ",CHAR(34),"filename",CHAR(34),": ",CHAR(34),convertcsv[[#This Row],[neu]],CHAR(34),",",CHAR(34),"ticketuuid",CHAR(34),":"," ",CHAR(34),convertcsv[[#This Row],[ticketuid]],CHAR(34)," },")</f>
        <v>{ "filename": "ESLL.xlsx","ticketuuid": "FAFFDFFC66021FD0A3DBBC00C1511576" },</v>
      </c>
      <c r="M39" t="s">
        <v>847</v>
      </c>
      <c r="N39" s="8" t="str">
        <f>VLOOKUP(convertcsv[[#This Row],[neu]],Tabelle1!$A$1:$A$55,1,FALSE)</f>
        <v>ESLL.xlsx</v>
      </c>
      <c r="O39" s="8" t="str">
        <f>REPLACE(convertcsv[[#This Row],[filename]],FIND(".htm",convertcsv[[#This Row],[filename]]),4,".xlsx")</f>
        <v>ESLL.xlsx</v>
      </c>
      <c r="P39" s="8" t="str">
        <f>convertcsv[[#This Row],[ticketuid]] &amp; "," &amp; convertcsv[[#This Row],[neu]]</f>
        <v>FAFFDFFC66021FD0A3DBBC00C1511576,ESLL.xlsx</v>
      </c>
    </row>
    <row r="40" spans="1:16" x14ac:dyDescent="0.25">
      <c r="A40" t="s">
        <v>545</v>
      </c>
      <c r="B40" t="s">
        <v>501</v>
      </c>
      <c r="C40" t="s">
        <v>502</v>
      </c>
      <c r="D40" t="s">
        <v>506</v>
      </c>
      <c r="E40" t="s">
        <v>503</v>
      </c>
      <c r="F40" t="s">
        <v>493</v>
      </c>
      <c r="G40" t="s">
        <v>504</v>
      </c>
      <c r="H40">
        <v>10967488</v>
      </c>
      <c r="I40" t="s">
        <v>936</v>
      </c>
      <c r="J40" t="s">
        <v>356</v>
      </c>
      <c r="K40" t="s">
        <v>758</v>
      </c>
      <c r="L40" t="str">
        <f>_xlfn.CONCAT("{ ",CHAR(34),"filename",CHAR(34),": ",CHAR(34),convertcsv[[#This Row],[neu]],CHAR(34),",",CHAR(34),"ticketuuid",CHAR(34),":"," ",CHAR(34),convertcsv[[#This Row],[ticketuid]],CHAR(34)," },")</f>
        <v>{ "filename": "HUMSEG.xlsx","ticketuuid": "FAFFDFFC66021FD0A3DBBA661092DF57" },</v>
      </c>
      <c r="M40" t="s">
        <v>848</v>
      </c>
      <c r="N40" s="8" t="str">
        <f>VLOOKUP(convertcsv[[#This Row],[neu]],Tabelle1!$A$1:$A$55,1,FALSE)</f>
        <v>HUMSEG.xlsx</v>
      </c>
      <c r="O40" s="8" t="str">
        <f>REPLACE(convertcsv[[#This Row],[filename]],FIND(".htm",convertcsv[[#This Row],[filename]]),4,".xlsx")</f>
        <v>HUMSEG.xlsx</v>
      </c>
      <c r="P40" s="8" t="str">
        <f>convertcsv[[#This Row],[ticketuid]] &amp; "," &amp; convertcsv[[#This Row],[neu]]</f>
        <v>FAFFDFFC66021FD0A3DBBA661092DF57,HUMSEG.xlsx</v>
      </c>
    </row>
    <row r="41" spans="1:16" x14ac:dyDescent="0.25">
      <c r="A41" t="s">
        <v>546</v>
      </c>
      <c r="B41" t="s">
        <v>501</v>
      </c>
      <c r="C41" t="s">
        <v>502</v>
      </c>
      <c r="D41" t="s">
        <v>506</v>
      </c>
      <c r="E41" t="s">
        <v>503</v>
      </c>
      <c r="F41" t="s">
        <v>493</v>
      </c>
      <c r="G41" t="s">
        <v>504</v>
      </c>
      <c r="H41">
        <v>10967487</v>
      </c>
      <c r="I41" t="s">
        <v>937</v>
      </c>
      <c r="J41" t="s">
        <v>153</v>
      </c>
      <c r="K41" t="s">
        <v>759</v>
      </c>
      <c r="L41" t="str">
        <f>_xlfn.CONCAT("{ ",CHAR(34),"filename",CHAR(34),": ",CHAR(34),convertcsv[[#This Row],[neu]],CHAR(34),",",CHAR(34),"ticketuuid",CHAR(34),":"," ",CHAR(34),convertcsv[[#This Row],[ticketuid]],CHAR(34)," },")</f>
        <v>{ "filename": "KONA.xlsx","ticketuuid": "FAFFDFFC66021FD0A3DBB8BC811A1E3B" },</v>
      </c>
      <c r="M41" t="s">
        <v>849</v>
      </c>
      <c r="N41" s="8" t="str">
        <f>VLOOKUP(convertcsv[[#This Row],[neu]],Tabelle1!$A$1:$A$55,1,FALSE)</f>
        <v>KONA.xlsx</v>
      </c>
      <c r="O41" s="8" t="str">
        <f>REPLACE(convertcsv[[#This Row],[filename]],FIND(".htm",convertcsv[[#This Row],[filename]]),4,".xlsx")</f>
        <v>KONA.xlsx</v>
      </c>
      <c r="P41" s="8" t="str">
        <f>convertcsv[[#This Row],[ticketuid]] &amp; "," &amp; convertcsv[[#This Row],[neu]]</f>
        <v>FAFFDFFC66021FD0A3DBB8BC811A1E3B,KONA.xlsx</v>
      </c>
    </row>
    <row r="42" spans="1:16" x14ac:dyDescent="0.25">
      <c r="A42" t="s">
        <v>547</v>
      </c>
      <c r="B42" t="s">
        <v>501</v>
      </c>
      <c r="C42" t="s">
        <v>502</v>
      </c>
      <c r="D42" t="s">
        <v>506</v>
      </c>
      <c r="E42" t="s">
        <v>503</v>
      </c>
      <c r="F42" t="s">
        <v>493</v>
      </c>
      <c r="G42" t="s">
        <v>504</v>
      </c>
      <c r="H42">
        <v>10967486</v>
      </c>
      <c r="I42" t="s">
        <v>938</v>
      </c>
      <c r="J42" t="s">
        <v>130</v>
      </c>
      <c r="K42" t="s">
        <v>760</v>
      </c>
      <c r="L42" t="str">
        <f>_xlfn.CONCAT("{ ",CHAR(34),"filename",CHAR(34),": ",CHAR(34),convertcsv[[#This Row],[neu]],CHAR(34),",",CHAR(34),"ticketuuid",CHAR(34),":"," ",CHAR(34),convertcsv[[#This Row],[ticketuid]],CHAR(34)," },")</f>
        <v>{ "filename": "MARD.xlsx","ticketuuid": "FAFFDFFC66021FD0A3DBB7022DDCC57A" },</v>
      </c>
      <c r="M42" t="s">
        <v>850</v>
      </c>
      <c r="N42" s="8" t="str">
        <f>VLOOKUP(convertcsv[[#This Row],[neu]],Tabelle1!$A$1:$A$55,1,FALSE)</f>
        <v>MARD.xlsx</v>
      </c>
      <c r="O42" s="8" t="str">
        <f>REPLACE(convertcsv[[#This Row],[filename]],FIND(".htm",convertcsv[[#This Row],[filename]]),4,".xlsx")</f>
        <v>MARD.xlsx</v>
      </c>
      <c r="P42" s="8" t="str">
        <f>convertcsv[[#This Row],[ticketuid]] &amp; "," &amp; convertcsv[[#This Row],[neu]]</f>
        <v>FAFFDFFC66021FD0A3DBB7022DDCC57A,MARD.xlsx</v>
      </c>
    </row>
    <row r="43" spans="1:16" x14ac:dyDescent="0.25">
      <c r="A43" t="s">
        <v>548</v>
      </c>
      <c r="B43" t="s">
        <v>501</v>
      </c>
      <c r="C43" t="s">
        <v>502</v>
      </c>
      <c r="D43" t="s">
        <v>506</v>
      </c>
      <c r="E43" t="s">
        <v>503</v>
      </c>
      <c r="F43" t="s">
        <v>493</v>
      </c>
      <c r="G43" t="s">
        <v>504</v>
      </c>
      <c r="H43">
        <v>10967484</v>
      </c>
      <c r="I43" t="s">
        <v>939</v>
      </c>
      <c r="J43" t="s">
        <v>120</v>
      </c>
      <c r="K43" t="s">
        <v>761</v>
      </c>
      <c r="L43" t="str">
        <f>_xlfn.CONCAT("{ ",CHAR(34),"filename",CHAR(34),": ",CHAR(34),convertcsv[[#This Row],[neu]],CHAR(34),",",CHAR(34),"ticketuuid",CHAR(34),":"," ",CHAR(34),convertcsv[[#This Row],[ticketuid]],CHAR(34)," },")</f>
        <v>{ "filename": "MCH1.xlsx","ticketuuid": "FAFFDFFC66021FD0A3DBB555294B1576" },</v>
      </c>
      <c r="M43" t="s">
        <v>851</v>
      </c>
      <c r="N43" s="8" t="str">
        <f>VLOOKUP(convertcsv[[#This Row],[neu]],Tabelle1!$A$1:$A$55,1,FALSE)</f>
        <v>MCH1.xlsx</v>
      </c>
      <c r="O43" s="8" t="str">
        <f>REPLACE(convertcsv[[#This Row],[filename]],FIND(".htm",convertcsv[[#This Row],[filename]]),4,".xlsx")</f>
        <v>MCH1.xlsx</v>
      </c>
      <c r="P43" s="8" t="str">
        <f>convertcsv[[#This Row],[ticketuid]] &amp; "," &amp; convertcsv[[#This Row],[neu]]</f>
        <v>FAFFDFFC66021FD0A3DBB555294B1576,MCH1.xlsx</v>
      </c>
    </row>
    <row r="44" spans="1:16" x14ac:dyDescent="0.25">
      <c r="A44" t="s">
        <v>549</v>
      </c>
      <c r="B44" t="s">
        <v>501</v>
      </c>
      <c r="C44" t="s">
        <v>502</v>
      </c>
      <c r="D44" t="s">
        <v>506</v>
      </c>
      <c r="E44" t="s">
        <v>503</v>
      </c>
      <c r="F44" t="s">
        <v>493</v>
      </c>
      <c r="G44" t="s">
        <v>504</v>
      </c>
      <c r="H44">
        <v>10967483</v>
      </c>
      <c r="I44" t="s">
        <v>940</v>
      </c>
      <c r="J44" t="s">
        <v>119</v>
      </c>
      <c r="K44" t="s">
        <v>762</v>
      </c>
      <c r="L44" t="str">
        <f>_xlfn.CONCAT("{ ",CHAR(34),"filename",CHAR(34),": ",CHAR(34),convertcsv[[#This Row],[neu]],CHAR(34),",",CHAR(34),"ticketuuid",CHAR(34),":"," ",CHAR(34),convertcsv[[#This Row],[ticketuid]],CHAR(34)," },")</f>
        <v>{ "filename": "MCHA.xlsx","ticketuuid": "FAFFDFFC66021FD0A3DBB38975889A8C" },</v>
      </c>
      <c r="M44" t="s">
        <v>852</v>
      </c>
      <c r="N44" s="8" t="str">
        <f>VLOOKUP(convertcsv[[#This Row],[neu]],Tabelle1!$A$1:$A$55,1,FALSE)</f>
        <v>MCHA.xlsx</v>
      </c>
      <c r="O44" s="8" t="str">
        <f>REPLACE(convertcsv[[#This Row],[filename]],FIND(".htm",convertcsv[[#This Row],[filename]]),4,".xlsx")</f>
        <v>MCHA.xlsx</v>
      </c>
      <c r="P44" s="8" t="str">
        <f>convertcsv[[#This Row],[ticketuid]] &amp; "," &amp; convertcsv[[#This Row],[neu]]</f>
        <v>FAFFDFFC66021FD0A3DBB38975889A8C,MCHA.xlsx</v>
      </c>
    </row>
    <row r="45" spans="1:16" x14ac:dyDescent="0.25">
      <c r="A45" t="s">
        <v>550</v>
      </c>
      <c r="B45" t="s">
        <v>501</v>
      </c>
      <c r="C45" t="s">
        <v>502</v>
      </c>
      <c r="D45" t="s">
        <v>506</v>
      </c>
      <c r="E45" t="s">
        <v>503</v>
      </c>
      <c r="F45" t="s">
        <v>493</v>
      </c>
      <c r="G45" t="s">
        <v>504</v>
      </c>
      <c r="H45">
        <v>10967482</v>
      </c>
      <c r="I45" t="s">
        <v>941</v>
      </c>
      <c r="J45" t="s">
        <v>131</v>
      </c>
      <c r="K45" t="s">
        <v>763</v>
      </c>
      <c r="L45" t="str">
        <f>_xlfn.CONCAT("{ ",CHAR(34),"filename",CHAR(34),": ",CHAR(34),convertcsv[[#This Row],[neu]],CHAR(34),",",CHAR(34),"ticketuuid",CHAR(34),":"," ",CHAR(34),convertcsv[[#This Row],[ticketuid]],CHAR(34)," },")</f>
        <v>{ "filename": "MCHB.xlsx","ticketuuid": "FAFFDFFC66021FD0A3DBB1F4EDA19CC8" },</v>
      </c>
      <c r="M45" t="s">
        <v>853</v>
      </c>
      <c r="N45" s="8" t="str">
        <f>VLOOKUP(convertcsv[[#This Row],[neu]],Tabelle1!$A$1:$A$55,1,FALSE)</f>
        <v>MCHB.xlsx</v>
      </c>
      <c r="O45" s="8" t="str">
        <f>REPLACE(convertcsv[[#This Row],[filename]],FIND(".htm",convertcsv[[#This Row],[filename]]),4,".xlsx")</f>
        <v>MCHB.xlsx</v>
      </c>
      <c r="P45" s="8" t="str">
        <f>convertcsv[[#This Row],[ticketuid]] &amp; "," &amp; convertcsv[[#This Row],[neu]]</f>
        <v>FAFFDFFC66021FD0A3DBB1F4EDA19CC8,MCHB.xlsx</v>
      </c>
    </row>
    <row r="46" spans="1:16" x14ac:dyDescent="0.25">
      <c r="A46" t="s">
        <v>551</v>
      </c>
      <c r="B46" t="s">
        <v>501</v>
      </c>
      <c r="C46" t="s">
        <v>502</v>
      </c>
      <c r="D46" t="s">
        <v>506</v>
      </c>
      <c r="E46" t="s">
        <v>503</v>
      </c>
      <c r="F46" t="s">
        <v>493</v>
      </c>
      <c r="G46" t="s">
        <v>504</v>
      </c>
      <c r="H46">
        <v>10967481</v>
      </c>
      <c r="I46" t="s">
        <v>942</v>
      </c>
      <c r="J46" t="s">
        <v>135</v>
      </c>
      <c r="K46" t="s">
        <v>764</v>
      </c>
      <c r="L46" t="str">
        <f>_xlfn.CONCAT("{ ",CHAR(34),"filename",CHAR(34),": ",CHAR(34),convertcsv[[#This Row],[neu]],CHAR(34),",",CHAR(34),"ticketuuid",CHAR(34),":"," ",CHAR(34),convertcsv[[#This Row],[ticketuid]],CHAR(34)," },")</f>
        <v>{ "filename": "MKOL.xlsx","ticketuuid": "FAFFDFFC66021FD0A3DBB03AE5005DCF" },</v>
      </c>
      <c r="M46" t="s">
        <v>854</v>
      </c>
      <c r="N46" s="8" t="str">
        <f>VLOOKUP(convertcsv[[#This Row],[neu]],Tabelle1!$A$1:$A$55,1,FALSE)</f>
        <v>MKOL.xlsx</v>
      </c>
      <c r="O46" s="8" t="str">
        <f>REPLACE(convertcsv[[#This Row],[filename]],FIND(".htm",convertcsv[[#This Row],[filename]]),4,".xlsx")</f>
        <v>MKOL.xlsx</v>
      </c>
      <c r="P46" s="8" t="str">
        <f>convertcsv[[#This Row],[ticketuid]] &amp; "," &amp; convertcsv[[#This Row],[neu]]</f>
        <v>FAFFDFFC66021FD0A3DBB03AE5005DCF,MKOL.xlsx</v>
      </c>
    </row>
    <row r="47" spans="1:16" x14ac:dyDescent="0.25">
      <c r="A47" t="s">
        <v>552</v>
      </c>
      <c r="B47" t="s">
        <v>501</v>
      </c>
      <c r="C47" t="s">
        <v>502</v>
      </c>
      <c r="D47" t="s">
        <v>506</v>
      </c>
      <c r="E47" t="s">
        <v>503</v>
      </c>
      <c r="F47" t="s">
        <v>493</v>
      </c>
      <c r="G47" t="s">
        <v>504</v>
      </c>
      <c r="H47">
        <v>10967479</v>
      </c>
      <c r="I47" t="s">
        <v>943</v>
      </c>
      <c r="J47" t="s">
        <v>353</v>
      </c>
      <c r="K47" t="s">
        <v>765</v>
      </c>
      <c r="L47" t="str">
        <f>_xlfn.CONCAT("{ ",CHAR(34),"filename",CHAR(34),": ",CHAR(34),convertcsv[[#This Row],[neu]],CHAR(34),",",CHAR(34),"ticketuuid",CHAR(34),":"," ",CHAR(34),convertcsv[[#This Row],[ticketuid]],CHAR(34)," },")</f>
        <v>{ "filename": "MKPF.xlsx","ticketuuid": "FAFFDFFC66021FD0A3DBAE7C9F961F98" },</v>
      </c>
      <c r="M47" t="s">
        <v>855</v>
      </c>
      <c r="N47" s="8" t="str">
        <f>VLOOKUP(convertcsv[[#This Row],[neu]],Tabelle1!$A$1:$A$55,1,FALSE)</f>
        <v>MKPF.xlsx</v>
      </c>
      <c r="O47" s="8" t="str">
        <f>REPLACE(convertcsv[[#This Row],[filename]],FIND(".htm",convertcsv[[#This Row],[filename]]),4,".xlsx")</f>
        <v>MKPF.xlsx</v>
      </c>
      <c r="P47" s="8" t="str">
        <f>convertcsv[[#This Row],[ticketuid]] &amp; "," &amp; convertcsv[[#This Row],[neu]]</f>
        <v>FAFFDFFC66021FD0A3DBAE7C9F961F98,MKPF.xlsx</v>
      </c>
    </row>
    <row r="48" spans="1:16" x14ac:dyDescent="0.25">
      <c r="A48" t="s">
        <v>553</v>
      </c>
      <c r="B48" t="s">
        <v>501</v>
      </c>
      <c r="C48" t="s">
        <v>502</v>
      </c>
      <c r="D48" t="s">
        <v>506</v>
      </c>
      <c r="E48" t="s">
        <v>503</v>
      </c>
      <c r="F48" t="s">
        <v>493</v>
      </c>
      <c r="G48" t="s">
        <v>504</v>
      </c>
      <c r="H48">
        <v>10967478</v>
      </c>
      <c r="I48" t="s">
        <v>944</v>
      </c>
      <c r="J48" t="s">
        <v>354</v>
      </c>
      <c r="K48" t="s">
        <v>766</v>
      </c>
      <c r="L48" t="str">
        <f>_xlfn.CONCAT("{ ",CHAR(34),"filename",CHAR(34),": ",CHAR(34),convertcsv[[#This Row],[neu]],CHAR(34),",",CHAR(34),"ticketuuid",CHAR(34),":"," ",CHAR(34),convertcsv[[#This Row],[ticketuid]],CHAR(34)," },")</f>
        <v>{ "filename": "MSEG.xlsx","ticketuuid": "FAFFDFFC66021FD0A3DBACD849359E63" },</v>
      </c>
      <c r="M48" t="s">
        <v>856</v>
      </c>
      <c r="N48" s="8" t="str">
        <f>VLOOKUP(convertcsv[[#This Row],[neu]],Tabelle1!$A$1:$A$55,1,FALSE)</f>
        <v>MSEG.xlsx</v>
      </c>
      <c r="O48" s="8" t="str">
        <f>REPLACE(convertcsv[[#This Row],[filename]],FIND(".htm",convertcsv[[#This Row],[filename]]),4,".xlsx")</f>
        <v>MSEG.xlsx</v>
      </c>
      <c r="P48" s="8" t="str">
        <f>convertcsv[[#This Row],[ticketuid]] &amp; "," &amp; convertcsv[[#This Row],[neu]]</f>
        <v>FAFFDFFC66021FD0A3DBACD849359E63,MSEG.xlsx</v>
      </c>
    </row>
    <row r="49" spans="1:16" x14ac:dyDescent="0.25">
      <c r="A49" t="s">
        <v>554</v>
      </c>
      <c r="B49" t="s">
        <v>501</v>
      </c>
      <c r="C49" t="s">
        <v>502</v>
      </c>
      <c r="D49" t="s">
        <v>506</v>
      </c>
      <c r="E49" t="s">
        <v>503</v>
      </c>
      <c r="F49" t="s">
        <v>493</v>
      </c>
      <c r="G49" t="s">
        <v>504</v>
      </c>
      <c r="H49">
        <v>10967476</v>
      </c>
      <c r="I49" t="s">
        <v>945</v>
      </c>
      <c r="J49" t="s">
        <v>136</v>
      </c>
      <c r="K49" t="s">
        <v>767</v>
      </c>
      <c r="L49" t="str">
        <f>_xlfn.CONCAT("{ ",CHAR(34),"filename",CHAR(34),": ",CHAR(34),convertcsv[[#This Row],[neu]],CHAR(34),",",CHAR(34),"ticketuuid",CHAR(34),":"," ",CHAR(34),convertcsv[[#This Row],[ticketuid]],CHAR(34)," },")</f>
        <v>{ "filename": "MSKA.xlsx","ticketuuid": "FAFFDFFC66021FE0A3DBAAC5BA0B8247" },</v>
      </c>
      <c r="M49" t="s">
        <v>857</v>
      </c>
      <c r="N49" s="8" t="str">
        <f>VLOOKUP(convertcsv[[#This Row],[neu]],Tabelle1!$A$1:$A$55,1,FALSE)</f>
        <v>MSKA.xlsx</v>
      </c>
      <c r="O49" s="8" t="str">
        <f>REPLACE(convertcsv[[#This Row],[filename]],FIND(".htm",convertcsv[[#This Row],[filename]]),4,".xlsx")</f>
        <v>MSKA.xlsx</v>
      </c>
      <c r="P49" s="8" t="str">
        <f>convertcsv[[#This Row],[ticketuid]] &amp; "," &amp; convertcsv[[#This Row],[neu]]</f>
        <v>FAFFDFFC66021FE0A3DBAAC5BA0B8247,MSKA.xlsx</v>
      </c>
    </row>
    <row r="50" spans="1:16" x14ac:dyDescent="0.25">
      <c r="A50" t="s">
        <v>555</v>
      </c>
      <c r="B50" t="s">
        <v>501</v>
      </c>
      <c r="C50" t="s">
        <v>502</v>
      </c>
      <c r="D50" t="s">
        <v>506</v>
      </c>
      <c r="E50" t="s">
        <v>503</v>
      </c>
      <c r="F50" t="s">
        <v>493</v>
      </c>
      <c r="G50" t="s">
        <v>504</v>
      </c>
      <c r="H50">
        <v>10967475</v>
      </c>
      <c r="I50" t="s">
        <v>946</v>
      </c>
      <c r="J50" t="s">
        <v>137</v>
      </c>
      <c r="K50" t="s">
        <v>768</v>
      </c>
      <c r="L50" t="str">
        <f>_xlfn.CONCAT("{ ",CHAR(34),"filename",CHAR(34),": ",CHAR(34),convertcsv[[#This Row],[neu]],CHAR(34),",",CHAR(34),"ticketuuid",CHAR(34),":"," ",CHAR(34),convertcsv[[#This Row],[ticketuid]],CHAR(34)," },")</f>
        <v>{ "filename": "MSKU.xlsx","ticketuuid": "FAFFDFFC66021FE0A3DBA9071DB9DDC4" },</v>
      </c>
      <c r="M50" t="s">
        <v>858</v>
      </c>
      <c r="N50" s="8" t="str">
        <f>VLOOKUP(convertcsv[[#This Row],[neu]],Tabelle1!$A$1:$A$55,1,FALSE)</f>
        <v>MSKU.xlsx</v>
      </c>
      <c r="O50" s="8" t="str">
        <f>REPLACE(convertcsv[[#This Row],[filename]],FIND(".htm",convertcsv[[#This Row],[filename]]),4,".xlsx")</f>
        <v>MSKU.xlsx</v>
      </c>
      <c r="P50" s="8" t="str">
        <f>convertcsv[[#This Row],[ticketuid]] &amp; "," &amp; convertcsv[[#This Row],[neu]]</f>
        <v>FAFFDFFC66021FE0A3DBA9071DB9DDC4,MSKU.xlsx</v>
      </c>
    </row>
    <row r="51" spans="1:16" x14ac:dyDescent="0.25">
      <c r="A51" t="s">
        <v>556</v>
      </c>
      <c r="B51" t="s">
        <v>501</v>
      </c>
      <c r="C51" t="s">
        <v>502</v>
      </c>
      <c r="D51" t="s">
        <v>506</v>
      </c>
      <c r="E51" t="s">
        <v>503</v>
      </c>
      <c r="F51" t="s">
        <v>493</v>
      </c>
      <c r="G51" t="s">
        <v>504</v>
      </c>
      <c r="H51">
        <v>10967474</v>
      </c>
      <c r="I51" t="s">
        <v>947</v>
      </c>
      <c r="J51" t="s">
        <v>138</v>
      </c>
      <c r="K51" t="s">
        <v>769</v>
      </c>
      <c r="L51" t="str">
        <f>_xlfn.CONCAT("{ ",CHAR(34),"filename",CHAR(34),": ",CHAR(34),convertcsv[[#This Row],[neu]],CHAR(34),",",CHAR(34),"ticketuuid",CHAR(34),":"," ",CHAR(34),convertcsv[[#This Row],[ticketuid]],CHAR(34)," },")</f>
        <v>{ "filename": "MSLB.xlsx","ticketuuid": "FAFFDFFC66021FD0A3DBA74B9EE95F98" },</v>
      </c>
      <c r="M51" t="s">
        <v>859</v>
      </c>
      <c r="N51" s="8" t="str">
        <f>VLOOKUP(convertcsv[[#This Row],[neu]],Tabelle1!$A$1:$A$55,1,FALSE)</f>
        <v>MSLB.xlsx</v>
      </c>
      <c r="O51" s="8" t="str">
        <f>REPLACE(convertcsv[[#This Row],[filename]],FIND(".htm",convertcsv[[#This Row],[filename]]),4,".xlsx")</f>
        <v>MSLB.xlsx</v>
      </c>
      <c r="P51" s="8" t="str">
        <f>convertcsv[[#This Row],[ticketuid]] &amp; "," &amp; convertcsv[[#This Row],[neu]]</f>
        <v>FAFFDFFC66021FD0A3DBA74B9EE95F98,MSLB.xlsx</v>
      </c>
    </row>
    <row r="52" spans="1:16" x14ac:dyDescent="0.25">
      <c r="A52" t="s">
        <v>557</v>
      </c>
      <c r="B52" t="s">
        <v>501</v>
      </c>
      <c r="C52" t="s">
        <v>502</v>
      </c>
      <c r="D52" t="s">
        <v>506</v>
      </c>
      <c r="E52" t="s">
        <v>503</v>
      </c>
      <c r="F52" t="s">
        <v>493</v>
      </c>
      <c r="G52" t="s">
        <v>504</v>
      </c>
      <c r="H52">
        <v>10967473</v>
      </c>
      <c r="I52" t="s">
        <v>948</v>
      </c>
      <c r="J52" t="s">
        <v>140</v>
      </c>
      <c r="K52" t="s">
        <v>770</v>
      </c>
      <c r="L52" t="str">
        <f>_xlfn.CONCAT("{ ",CHAR(34),"filename",CHAR(34),": ",CHAR(34),convertcsv[[#This Row],[neu]],CHAR(34),",",CHAR(34),"ticketuuid",CHAR(34),":"," ",CHAR(34),convertcsv[[#This Row],[ticketuid]],CHAR(34)," },")</f>
        <v>{ "filename": "MSSL.xlsx","ticketuuid": "FAFFDFFC66021FD0A3DBA55F425D8EEB" },</v>
      </c>
      <c r="M52" t="s">
        <v>860</v>
      </c>
      <c r="N52" s="8" t="str">
        <f>VLOOKUP(convertcsv[[#This Row],[neu]],Tabelle1!$A$1:$A$55,1,FALSE)</f>
        <v>MSSL.xlsx</v>
      </c>
      <c r="O52" s="8" t="str">
        <f>REPLACE(convertcsv[[#This Row],[filename]],FIND(".htm",convertcsv[[#This Row],[filename]]),4,".xlsx")</f>
        <v>MSSL.xlsx</v>
      </c>
      <c r="P52" s="8" t="str">
        <f>convertcsv[[#This Row],[ticketuid]] &amp; "," &amp; convertcsv[[#This Row],[neu]]</f>
        <v>FAFFDFFC66021FD0A3DBA55F425D8EEB,MSSL.xlsx</v>
      </c>
    </row>
    <row r="53" spans="1:16" x14ac:dyDescent="0.25">
      <c r="A53" t="s">
        <v>558</v>
      </c>
      <c r="B53" t="s">
        <v>501</v>
      </c>
      <c r="C53" t="s">
        <v>502</v>
      </c>
      <c r="D53" t="s">
        <v>506</v>
      </c>
      <c r="E53" t="s">
        <v>503</v>
      </c>
      <c r="F53" t="s">
        <v>493</v>
      </c>
      <c r="G53" t="s">
        <v>504</v>
      </c>
      <c r="H53">
        <v>10967467</v>
      </c>
      <c r="I53" t="s">
        <v>949</v>
      </c>
      <c r="J53" t="s">
        <v>139</v>
      </c>
      <c r="K53" t="s">
        <v>771</v>
      </c>
      <c r="L53" t="str">
        <f>_xlfn.CONCAT("{ ",CHAR(34),"filename",CHAR(34),": ",CHAR(34),convertcsv[[#This Row],[neu]],CHAR(34),",",CHAR(34),"ticketuuid",CHAR(34),":"," ",CHAR(34),convertcsv[[#This Row],[ticketuid]],CHAR(34)," },")</f>
        <v>{ "filename": "MSPR.xlsx","ticketuuid": "FAFFDFFC66021FD0A3DBA39B43A993BC" },</v>
      </c>
      <c r="M53" t="s">
        <v>861</v>
      </c>
      <c r="N53" s="8" t="str">
        <f>VLOOKUP(convertcsv[[#This Row],[neu]],Tabelle1!$A$1:$A$55,1,FALSE)</f>
        <v>MSPR.xlsx</v>
      </c>
      <c r="O53" s="8" t="str">
        <f>REPLACE(convertcsv[[#This Row],[filename]],FIND(".htm",convertcsv[[#This Row],[filename]]),4,".xlsx")</f>
        <v>MSPR.xlsx</v>
      </c>
      <c r="P53" s="8" t="str">
        <f>convertcsv[[#This Row],[ticketuid]] &amp; "," &amp; convertcsv[[#This Row],[neu]]</f>
        <v>FAFFDFFC66021FD0A3DBA39B43A993BC,MSPR.xlsx</v>
      </c>
    </row>
    <row r="54" spans="1:16" x14ac:dyDescent="0.25">
      <c r="A54" t="s">
        <v>559</v>
      </c>
      <c r="B54" t="s">
        <v>501</v>
      </c>
      <c r="C54" t="s">
        <v>502</v>
      </c>
      <c r="D54" t="s">
        <v>506</v>
      </c>
      <c r="E54" t="s">
        <v>503</v>
      </c>
      <c r="F54" t="s">
        <v>493</v>
      </c>
      <c r="G54" t="s">
        <v>504</v>
      </c>
      <c r="H54">
        <v>10967464</v>
      </c>
      <c r="I54" t="s">
        <v>950</v>
      </c>
      <c r="J54" t="s">
        <v>262</v>
      </c>
      <c r="K54" t="s">
        <v>772</v>
      </c>
      <c r="L54" t="str">
        <f>_xlfn.CONCAT("{ ",CHAR(34),"filename",CHAR(34),": ",CHAR(34),convertcsv[[#This Row],[neu]],CHAR(34),",",CHAR(34),"ticketuuid",CHAR(34),":"," ",CHAR(34),convertcsv[[#This Row],[ticketuid]],CHAR(34)," },")</f>
        <v>{ "filename": "MVER.xlsx","ticketuuid": "FAFFDFFC66021FD0A3DBA1CE4BF01A28" },</v>
      </c>
      <c r="M54" t="s">
        <v>862</v>
      </c>
      <c r="N54" s="8" t="str">
        <f>VLOOKUP(convertcsv[[#This Row],[neu]],Tabelle1!$A$1:$A$55,1,FALSE)</f>
        <v>MVER.xlsx</v>
      </c>
      <c r="O54" s="8" t="str">
        <f>REPLACE(convertcsv[[#This Row],[filename]],FIND(".htm",convertcsv[[#This Row],[filename]]),4,".xlsx")</f>
        <v>MVER.xlsx</v>
      </c>
      <c r="P54" s="8" t="str">
        <f>convertcsv[[#This Row],[ticketuid]] &amp; "," &amp; convertcsv[[#This Row],[neu]]</f>
        <v>FAFFDFFC66021FD0A3DBA1CE4BF01A28,MVER.xlsx</v>
      </c>
    </row>
    <row r="55" spans="1:16" x14ac:dyDescent="0.25">
      <c r="A55" t="s">
        <v>560</v>
      </c>
      <c r="B55" t="s">
        <v>501</v>
      </c>
      <c r="C55" t="s">
        <v>502</v>
      </c>
      <c r="D55" t="s">
        <v>506</v>
      </c>
      <c r="E55" t="s">
        <v>503</v>
      </c>
      <c r="F55" t="s">
        <v>493</v>
      </c>
      <c r="G55" t="s">
        <v>504</v>
      </c>
      <c r="H55">
        <v>10967463</v>
      </c>
      <c r="I55" t="s">
        <v>951</v>
      </c>
      <c r="J55" t="s">
        <v>133</v>
      </c>
      <c r="K55" t="s">
        <v>773</v>
      </c>
      <c r="L55" t="str">
        <f>_xlfn.CONCAT("{ ",CHAR(34),"filename",CHAR(34),": ",CHAR(34),convertcsv[[#This Row],[neu]],CHAR(34),",",CHAR(34),"ticketuuid",CHAR(34),":"," ",CHAR(34),convertcsv[[#This Row],[ticketuid]],CHAR(34)," },")</f>
        <v>{ "filename": "QBEW.xlsx","ticketuuid": "FAFFDFFC66021FD0A3DB9FB279861CE5" },</v>
      </c>
      <c r="M55" t="s">
        <v>863</v>
      </c>
      <c r="N55" s="8" t="str">
        <f>VLOOKUP(convertcsv[[#This Row],[neu]],Tabelle1!$A$1:$A$55,1,FALSE)</f>
        <v>QBEW.xlsx</v>
      </c>
      <c r="O55" s="8" t="str">
        <f>REPLACE(convertcsv[[#This Row],[filename]],FIND(".htm",convertcsv[[#This Row],[filename]]),4,".xlsx")</f>
        <v>QBEW.xlsx</v>
      </c>
      <c r="P55" s="8" t="str">
        <f>convertcsv[[#This Row],[ticketuid]] &amp; "," &amp; convertcsv[[#This Row],[neu]]</f>
        <v>FAFFDFFC66021FD0A3DB9FB279861CE5,QBEW.xlsx</v>
      </c>
    </row>
    <row r="56" spans="1:16" x14ac:dyDescent="0.25">
      <c r="A56" t="s">
        <v>561</v>
      </c>
      <c r="B56" t="s">
        <v>501</v>
      </c>
      <c r="C56" t="s">
        <v>502</v>
      </c>
      <c r="D56" t="s">
        <v>506</v>
      </c>
      <c r="E56" t="s">
        <v>503</v>
      </c>
      <c r="F56" t="s">
        <v>493</v>
      </c>
      <c r="G56" t="s">
        <v>504</v>
      </c>
      <c r="H56">
        <v>10967460</v>
      </c>
      <c r="I56" t="s">
        <v>952</v>
      </c>
      <c r="J56" t="s">
        <v>128</v>
      </c>
      <c r="K56" t="s">
        <v>774</v>
      </c>
      <c r="L56" t="str">
        <f>_xlfn.CONCAT("{ ",CHAR(34),"filename",CHAR(34),": ",CHAR(34),convertcsv[[#This Row],[neu]],CHAR(34),",",CHAR(34),"ticketuuid",CHAR(34),":"," ",CHAR(34),convertcsv[[#This Row],[ticketuid]],CHAR(34)," },")</f>
        <v>{ "filename": "RBKP.xlsx","ticketuuid": "FAFFDFFC66021FD0A3DB9DD921064D65" },</v>
      </c>
      <c r="M56" t="s">
        <v>864</v>
      </c>
      <c r="N56" s="8" t="str">
        <f>VLOOKUP(convertcsv[[#This Row],[neu]],Tabelle1!$A$1:$A$55,1,FALSE)</f>
        <v>RBKP.xlsx</v>
      </c>
      <c r="O56" s="8" t="str">
        <f>REPLACE(convertcsv[[#This Row],[filename]],FIND(".htm",convertcsv[[#This Row],[filename]]),4,".xlsx")</f>
        <v>RBKP.xlsx</v>
      </c>
      <c r="P56" s="8" t="str">
        <f>convertcsv[[#This Row],[ticketuid]] &amp; "," &amp; convertcsv[[#This Row],[neu]]</f>
        <v>FAFFDFFC66021FD0A3DB9DD921064D65,RBKP.xlsx</v>
      </c>
    </row>
    <row r="57" spans="1:16" x14ac:dyDescent="0.25">
      <c r="A57" t="s">
        <v>562</v>
      </c>
      <c r="B57" t="s">
        <v>501</v>
      </c>
      <c r="C57" t="s">
        <v>502</v>
      </c>
      <c r="D57" t="s">
        <v>506</v>
      </c>
      <c r="E57" t="s">
        <v>503</v>
      </c>
      <c r="F57" t="s">
        <v>493</v>
      </c>
      <c r="G57" t="s">
        <v>504</v>
      </c>
      <c r="H57">
        <v>10967458</v>
      </c>
      <c r="I57" t="s">
        <v>953</v>
      </c>
      <c r="J57" t="s">
        <v>355</v>
      </c>
      <c r="K57" t="s">
        <v>775</v>
      </c>
      <c r="L57" t="str">
        <f>_xlfn.CONCAT("{ ",CHAR(34),"filename",CHAR(34),": ",CHAR(34),convertcsv[[#This Row],[neu]],CHAR(34),",",CHAR(34),"ticketuuid",CHAR(34),":"," ",CHAR(34),convertcsv[[#This Row],[ticketuid]],CHAR(34)," },")</f>
        <v>{ "filename": "RKWA.xlsx","ticketuuid": "FAFFDFFC66021FE0A3DB9C3D22EFC705" },</v>
      </c>
      <c r="M57" t="s">
        <v>865</v>
      </c>
      <c r="N57" s="8" t="str">
        <f>VLOOKUP(convertcsv[[#This Row],[neu]],Tabelle1!$A$1:$A$55,1,FALSE)</f>
        <v>RKWA.xlsx</v>
      </c>
      <c r="O57" s="8" t="str">
        <f>REPLACE(convertcsv[[#This Row],[filename]],FIND(".htm",convertcsv[[#This Row],[filename]]),4,".xlsx")</f>
        <v>RKWA.xlsx</v>
      </c>
      <c r="P57" s="8" t="str">
        <f>convertcsv[[#This Row],[ticketuid]] &amp; "," &amp; convertcsv[[#This Row],[neu]]</f>
        <v>FAFFDFFC66021FE0A3DB9C3D22EFC705,RKWA.xlsx</v>
      </c>
    </row>
    <row r="58" spans="1:16" hidden="1" x14ac:dyDescent="0.25">
      <c r="A58" t="s">
        <v>563</v>
      </c>
      <c r="B58" t="s">
        <v>501</v>
      </c>
      <c r="C58" t="s">
        <v>507</v>
      </c>
      <c r="D58" t="s">
        <v>506</v>
      </c>
      <c r="E58" t="s">
        <v>503</v>
      </c>
      <c r="F58" t="s">
        <v>493</v>
      </c>
      <c r="G58" t="s">
        <v>564</v>
      </c>
      <c r="H58">
        <v>10966976</v>
      </c>
      <c r="I58" s="11" t="s">
        <v>954</v>
      </c>
      <c r="J58" t="s">
        <v>129</v>
      </c>
      <c r="K58" t="s">
        <v>776</v>
      </c>
      <c r="L58" t="str">
        <f>_xlfn.CONCAT("{ ",CHAR(34),"filename",CHAR(34),": ",CHAR(34),convertcsv[[#This Row],[neu]],CHAR(34),",",CHAR(34),"ticketuuid",CHAR(34),":"," ",CHAR(34),convertcsv[[#This Row],[ticketuid]],CHAR(34)," },")</f>
        <v>{ "filename": "zu löschen","ticketuuid": "FAFFDFFC66021FE0A3CA094C8E2DDEC3" },</v>
      </c>
      <c r="M58" t="s">
        <v>866</v>
      </c>
      <c r="N58" s="8" t="s">
        <v>1042</v>
      </c>
      <c r="O58" s="8" t="s">
        <v>1042</v>
      </c>
      <c r="P58" s="8" t="str">
        <f>convertcsv[[#This Row],[ticketuid]] &amp; "," &amp; convertcsv[[#This Row],[neu]]</f>
        <v>FAFFDFFC66021FE0A3CA094C8E2DDEC3,zu löschen</v>
      </c>
    </row>
    <row r="59" spans="1:16" hidden="1" x14ac:dyDescent="0.25">
      <c r="A59" t="s">
        <v>565</v>
      </c>
      <c r="B59" t="s">
        <v>501</v>
      </c>
      <c r="C59" t="s">
        <v>507</v>
      </c>
      <c r="D59" t="s">
        <v>506</v>
      </c>
      <c r="E59" t="s">
        <v>503</v>
      </c>
      <c r="F59" t="s">
        <v>493</v>
      </c>
      <c r="G59" t="s">
        <v>564</v>
      </c>
      <c r="H59">
        <v>10966863</v>
      </c>
      <c r="I59" s="11" t="s">
        <v>955</v>
      </c>
      <c r="J59" t="s">
        <v>698</v>
      </c>
      <c r="K59" t="s">
        <v>777</v>
      </c>
      <c r="L59" t="str">
        <f>_xlfn.CONCAT("{ ",CHAR(34),"filename",CHAR(34),": ",CHAR(34),convertcsv[[#This Row],[neu]],CHAR(34),",",CHAR(34),"ticketuuid",CHAR(34),":"," ",CHAR(34),convertcsv[[#This Row],[ticketuid]],CHAR(34)," },")</f>
        <v>{ "filename": "zu löschen","ticketuuid": "FAFFDFFC66021FD0A3C8BB18D4C759DC" },</v>
      </c>
      <c r="M59" t="s">
        <v>867</v>
      </c>
      <c r="N59" s="8" t="s">
        <v>1042</v>
      </c>
      <c r="O59" s="8" t="s">
        <v>1042</v>
      </c>
      <c r="P59" s="8" t="str">
        <f>convertcsv[[#This Row],[ticketuid]] &amp; "," &amp; convertcsv[[#This Row],[neu]]</f>
        <v>FAFFDFFC66021FD0A3C8BB18D4C759DC,zu löschen</v>
      </c>
    </row>
    <row r="60" spans="1:16" hidden="1" x14ac:dyDescent="0.25">
      <c r="A60" t="s">
        <v>566</v>
      </c>
      <c r="B60" t="s">
        <v>501</v>
      </c>
      <c r="C60" t="s">
        <v>507</v>
      </c>
      <c r="D60" t="s">
        <v>506</v>
      </c>
      <c r="E60" t="s">
        <v>503</v>
      </c>
      <c r="F60" t="s">
        <v>493</v>
      </c>
      <c r="G60" t="s">
        <v>564</v>
      </c>
      <c r="H60">
        <v>10966611</v>
      </c>
      <c r="I60" t="s">
        <v>956</v>
      </c>
      <c r="J60" t="s">
        <v>699</v>
      </c>
      <c r="K60" t="s">
        <v>778</v>
      </c>
      <c r="L60" t="str">
        <f>_xlfn.CONCAT("{ ",CHAR(34),"filename",CHAR(34),": ",CHAR(34),convertcsv[[#This Row],[neu]],CHAR(34),",",CHAR(34),"ticketuuid",CHAR(34),":"," ",CHAR(34),convertcsv[[#This Row],[ticketuid]],CHAR(34)," },")</f>
        <v>{ "filename": "zu löschen","ticketuuid": "FAFFDFFC66021FD0A3C46D0532D089FE" },</v>
      </c>
      <c r="M60" t="s">
        <v>868</v>
      </c>
      <c r="N60" s="8" t="s">
        <v>1042</v>
      </c>
      <c r="O60" s="8" t="s">
        <v>1042</v>
      </c>
      <c r="P60" s="8" t="str">
        <f>convertcsv[[#This Row],[ticketuid]] &amp; "," &amp; convertcsv[[#This Row],[neu]]</f>
        <v>FAFFDFFC66021FD0A3C46D0532D089FE,zu löschen</v>
      </c>
    </row>
    <row r="61" spans="1:16" hidden="1" x14ac:dyDescent="0.25">
      <c r="A61" t="s">
        <v>567</v>
      </c>
      <c r="B61" t="s">
        <v>501</v>
      </c>
      <c r="C61" t="s">
        <v>507</v>
      </c>
      <c r="D61" t="s">
        <v>506</v>
      </c>
      <c r="E61" t="s">
        <v>503</v>
      </c>
      <c r="F61" t="s">
        <v>493</v>
      </c>
      <c r="G61" t="s">
        <v>564</v>
      </c>
      <c r="H61">
        <v>10966629</v>
      </c>
      <c r="I61" t="s">
        <v>957</v>
      </c>
      <c r="J61" t="s">
        <v>700</v>
      </c>
      <c r="K61" t="s">
        <v>779</v>
      </c>
      <c r="L61" t="str">
        <f>_xlfn.CONCAT("{ ",CHAR(34),"filename",CHAR(34),": ",CHAR(34),convertcsv[[#This Row],[neu]],CHAR(34),",",CHAR(34),"ticketuuid",CHAR(34),":"," ",CHAR(34),convertcsv[[#This Row],[ticketuid]],CHAR(34)," },")</f>
        <v>{ "filename": "zu löschen","ticketuuid": "FAFFDFFC66021FD0A3C495BB27794DD8" },</v>
      </c>
      <c r="M61" t="s">
        <v>869</v>
      </c>
      <c r="N61" s="8" t="s">
        <v>1042</v>
      </c>
      <c r="O61" s="8" t="s">
        <v>1042</v>
      </c>
      <c r="P61" s="8" t="str">
        <f>convertcsv[[#This Row],[ticketuid]] &amp; "," &amp; convertcsv[[#This Row],[neu]]</f>
        <v>FAFFDFFC66021FD0A3C495BB27794DD8,zu löschen</v>
      </c>
    </row>
    <row r="62" spans="1:16" hidden="1" x14ac:dyDescent="0.25">
      <c r="A62" t="s">
        <v>568</v>
      </c>
      <c r="B62" t="s">
        <v>501</v>
      </c>
      <c r="C62" t="s">
        <v>507</v>
      </c>
      <c r="D62" t="s">
        <v>506</v>
      </c>
      <c r="E62" t="s">
        <v>503</v>
      </c>
      <c r="F62" t="s">
        <v>493</v>
      </c>
      <c r="G62" t="s">
        <v>564</v>
      </c>
      <c r="H62">
        <v>10966623</v>
      </c>
      <c r="I62" t="s">
        <v>958</v>
      </c>
      <c r="J62" t="s">
        <v>701</v>
      </c>
      <c r="K62" t="s">
        <v>780</v>
      </c>
      <c r="L62" t="str">
        <f>_xlfn.CONCAT("{ ",CHAR(34),"filename",CHAR(34),": ",CHAR(34),convertcsv[[#This Row],[neu]],CHAR(34),",",CHAR(34),"ticketuuid",CHAR(34),":"," ",CHAR(34),convertcsv[[#This Row],[ticketuid]],CHAR(34)," },")</f>
        <v>{ "filename": "zu löschen","ticketuuid": "FAFFDFFC66021FE0A3C487D73AD7C2D1" },</v>
      </c>
      <c r="M62" t="s">
        <v>870</v>
      </c>
      <c r="N62" s="8" t="s">
        <v>1042</v>
      </c>
      <c r="O62" s="8" t="s">
        <v>1042</v>
      </c>
      <c r="P62" s="8" t="str">
        <f>convertcsv[[#This Row],[ticketuid]] &amp; "," &amp; convertcsv[[#This Row],[neu]]</f>
        <v>FAFFDFFC66021FE0A3C487D73AD7C2D1,zu löschen</v>
      </c>
    </row>
    <row r="63" spans="1:16" hidden="1" x14ac:dyDescent="0.25">
      <c r="A63" t="s">
        <v>569</v>
      </c>
      <c r="B63" t="s">
        <v>501</v>
      </c>
      <c r="C63" t="s">
        <v>507</v>
      </c>
      <c r="D63" t="s">
        <v>506</v>
      </c>
      <c r="E63" t="s">
        <v>503</v>
      </c>
      <c r="F63" t="s">
        <v>493</v>
      </c>
      <c r="G63" t="s">
        <v>564</v>
      </c>
      <c r="H63">
        <v>10966620</v>
      </c>
      <c r="I63" t="s">
        <v>959</v>
      </c>
      <c r="J63" t="s">
        <v>702</v>
      </c>
      <c r="K63" t="s">
        <v>781</v>
      </c>
      <c r="L63" t="str">
        <f>_xlfn.CONCAT("{ ",CHAR(34),"filename",CHAR(34),": ",CHAR(34),convertcsv[[#This Row],[neu]],CHAR(34),",",CHAR(34),"ticketuuid",CHAR(34),":"," ",CHAR(34),convertcsv[[#This Row],[ticketuid]],CHAR(34)," },")</f>
        <v>{ "filename": "zu löschen","ticketuuid": "FAFFDFFC66021FD0A3C480C8E6458787" },</v>
      </c>
      <c r="M63" t="s">
        <v>871</v>
      </c>
      <c r="N63" s="8" t="s">
        <v>1042</v>
      </c>
      <c r="O63" s="8" t="s">
        <v>1042</v>
      </c>
      <c r="P63" s="8" t="str">
        <f>convertcsv[[#This Row],[ticketuid]] &amp; "," &amp; convertcsv[[#This Row],[neu]]</f>
        <v>FAFFDFFC66021FD0A3C480C8E6458787,zu löschen</v>
      </c>
    </row>
    <row r="64" spans="1:16" hidden="1" x14ac:dyDescent="0.25">
      <c r="A64" t="s">
        <v>570</v>
      </c>
      <c r="B64" t="s">
        <v>501</v>
      </c>
      <c r="C64" t="s">
        <v>507</v>
      </c>
      <c r="D64" t="s">
        <v>506</v>
      </c>
      <c r="E64" t="s">
        <v>503</v>
      </c>
      <c r="F64" t="s">
        <v>493</v>
      </c>
      <c r="G64" t="s">
        <v>564</v>
      </c>
      <c r="H64">
        <v>10966617</v>
      </c>
      <c r="I64" t="s">
        <v>960</v>
      </c>
      <c r="J64" t="s">
        <v>703</v>
      </c>
      <c r="K64" t="s">
        <v>782</v>
      </c>
      <c r="L64" t="str">
        <f>_xlfn.CONCAT("{ ",CHAR(34),"filename",CHAR(34),": ",CHAR(34),convertcsv[[#This Row],[neu]],CHAR(34),",",CHAR(34),"ticketuuid",CHAR(34),":"," ",CHAR(34),convertcsv[[#This Row],[ticketuid]],CHAR(34)," },")</f>
        <v>{ "filename": "zu löschen","ticketuuid": "FAFFDFFC66021FE0A3C47BDCA9FBD8AA" },</v>
      </c>
      <c r="M64" t="s">
        <v>872</v>
      </c>
      <c r="N64" s="8" t="s">
        <v>1042</v>
      </c>
      <c r="O64" s="8" t="s">
        <v>1042</v>
      </c>
      <c r="P64" s="8" t="str">
        <f>convertcsv[[#This Row],[ticketuid]] &amp; "," &amp; convertcsv[[#This Row],[neu]]</f>
        <v>FAFFDFFC66021FE0A3C47BDCA9FBD8AA,zu löschen</v>
      </c>
    </row>
    <row r="65" spans="1:16" hidden="1" x14ac:dyDescent="0.25">
      <c r="A65" t="s">
        <v>571</v>
      </c>
      <c r="B65" t="s">
        <v>501</v>
      </c>
      <c r="C65" t="s">
        <v>507</v>
      </c>
      <c r="D65" t="s">
        <v>506</v>
      </c>
      <c r="E65" t="s">
        <v>503</v>
      </c>
      <c r="F65" t="s">
        <v>493</v>
      </c>
      <c r="G65" t="s">
        <v>564</v>
      </c>
      <c r="H65">
        <v>10966616</v>
      </c>
      <c r="I65" t="s">
        <v>961</v>
      </c>
      <c r="J65" t="s">
        <v>704</v>
      </c>
      <c r="K65" t="s">
        <v>783</v>
      </c>
      <c r="L65" t="str">
        <f>_xlfn.CONCAT("{ ",CHAR(34),"filename",CHAR(34),": ",CHAR(34),convertcsv[[#This Row],[neu]],CHAR(34),",",CHAR(34),"ticketuuid",CHAR(34),":"," ",CHAR(34),convertcsv[[#This Row],[ticketuid]],CHAR(34)," },")</f>
        <v>{ "filename": "zu löschen","ticketuuid": "FAFFDFFC66021FD0A3C477FABD610692" },</v>
      </c>
      <c r="M65" t="s">
        <v>873</v>
      </c>
      <c r="N65" s="8" t="s">
        <v>1042</v>
      </c>
      <c r="O65" s="8" t="s">
        <v>1042</v>
      </c>
      <c r="P65" s="8" t="str">
        <f>convertcsv[[#This Row],[ticketuid]] &amp; "," &amp; convertcsv[[#This Row],[neu]]</f>
        <v>FAFFDFFC66021FD0A3C477FABD610692,zu löschen</v>
      </c>
    </row>
    <row r="66" spans="1:16" hidden="1" x14ac:dyDescent="0.25">
      <c r="A66" t="s">
        <v>572</v>
      </c>
      <c r="B66" t="s">
        <v>501</v>
      </c>
      <c r="C66" t="s">
        <v>507</v>
      </c>
      <c r="D66" t="s">
        <v>506</v>
      </c>
      <c r="E66" t="s">
        <v>503</v>
      </c>
      <c r="F66" t="s">
        <v>493</v>
      </c>
      <c r="G66" t="s">
        <v>564</v>
      </c>
      <c r="H66">
        <v>10966615</v>
      </c>
      <c r="I66" t="s">
        <v>962</v>
      </c>
      <c r="J66" t="s">
        <v>705</v>
      </c>
      <c r="K66" t="s">
        <v>784</v>
      </c>
      <c r="L66" t="str">
        <f>_xlfn.CONCAT("{ ",CHAR(34),"filename",CHAR(34),": ",CHAR(34),convertcsv[[#This Row],[neu]],CHAR(34),",",CHAR(34),"ticketuuid",CHAR(34),":"," ",CHAR(34),convertcsv[[#This Row],[ticketuid]],CHAR(34)," },")</f>
        <v>{ "filename": "zu löschen","ticketuuid": "FAFFDFFC66021FE0A3C474C741655869" },</v>
      </c>
      <c r="M66" t="s">
        <v>874</v>
      </c>
      <c r="N66" s="8" t="s">
        <v>1042</v>
      </c>
      <c r="O66" s="8" t="s">
        <v>1042</v>
      </c>
      <c r="P66" s="8" t="str">
        <f>convertcsv[[#This Row],[ticketuid]] &amp; "," &amp; convertcsv[[#This Row],[neu]]</f>
        <v>FAFFDFFC66021FE0A3C474C741655869,zu löschen</v>
      </c>
    </row>
    <row r="67" spans="1:16" hidden="1" x14ac:dyDescent="0.25">
      <c r="A67" t="s">
        <v>573</v>
      </c>
      <c r="B67" t="s">
        <v>501</v>
      </c>
      <c r="C67" t="s">
        <v>507</v>
      </c>
      <c r="D67" t="s">
        <v>506</v>
      </c>
      <c r="E67" t="s">
        <v>503</v>
      </c>
      <c r="F67" t="s">
        <v>493</v>
      </c>
      <c r="G67" t="s">
        <v>564</v>
      </c>
      <c r="H67">
        <v>10966612</v>
      </c>
      <c r="I67" t="s">
        <v>963</v>
      </c>
      <c r="J67" t="s">
        <v>706</v>
      </c>
      <c r="K67" t="s">
        <v>785</v>
      </c>
      <c r="L67" t="str">
        <f>_xlfn.CONCAT("{ ",CHAR(34),"filename",CHAR(34),": ",CHAR(34),convertcsv[[#This Row],[neu]],CHAR(34),",",CHAR(34),"ticketuuid",CHAR(34),":"," ",CHAR(34),convertcsv[[#This Row],[ticketuid]],CHAR(34)," },")</f>
        <v>{ "filename": "zu löschen","ticketuuid": "FAFFDFFC66021FD0A3C46F7C44A20792" },</v>
      </c>
      <c r="M67" t="s">
        <v>875</v>
      </c>
      <c r="N67" s="8" t="s">
        <v>1042</v>
      </c>
      <c r="O67" s="8" t="s">
        <v>1042</v>
      </c>
      <c r="P67" s="8" t="str">
        <f>convertcsv[[#This Row],[ticketuid]] &amp; "," &amp; convertcsv[[#This Row],[neu]]</f>
        <v>FAFFDFFC66021FD0A3C46F7C44A20792,zu löschen</v>
      </c>
    </row>
    <row r="68" spans="1:16" hidden="1" x14ac:dyDescent="0.25">
      <c r="A68" t="s">
        <v>574</v>
      </c>
      <c r="B68" t="s">
        <v>501</v>
      </c>
      <c r="C68" t="s">
        <v>507</v>
      </c>
      <c r="D68" t="s">
        <v>506</v>
      </c>
      <c r="E68" t="s">
        <v>503</v>
      </c>
      <c r="F68" t="s">
        <v>493</v>
      </c>
      <c r="G68" t="s">
        <v>564</v>
      </c>
      <c r="H68">
        <v>10966610</v>
      </c>
      <c r="I68" t="s">
        <v>964</v>
      </c>
      <c r="J68" t="s">
        <v>707</v>
      </c>
      <c r="K68" t="s">
        <v>786</v>
      </c>
      <c r="L68" t="str">
        <f>_xlfn.CONCAT("{ ",CHAR(34),"filename",CHAR(34),": ",CHAR(34),convertcsv[[#This Row],[neu]],CHAR(34),",",CHAR(34),"ticketuuid",CHAR(34),":"," ",CHAR(34),convertcsv[[#This Row],[ticketuid]],CHAR(34)," },")</f>
        <v>{ "filename": "zu löschen","ticketuuid": "FAFFDFFC66021FD0A3C46BF690198E2B" },</v>
      </c>
      <c r="M68" t="s">
        <v>876</v>
      </c>
      <c r="N68" s="8" t="s">
        <v>1042</v>
      </c>
      <c r="O68" s="8" t="s">
        <v>1042</v>
      </c>
      <c r="P68" s="8" t="str">
        <f>convertcsv[[#This Row],[ticketuid]] &amp; "," &amp; convertcsv[[#This Row],[neu]]</f>
        <v>FAFFDFFC66021FD0A3C46BF690198E2B,zu löschen</v>
      </c>
    </row>
    <row r="69" spans="1:16" hidden="1" x14ac:dyDescent="0.25">
      <c r="A69" t="s">
        <v>575</v>
      </c>
      <c r="B69" t="s">
        <v>501</v>
      </c>
      <c r="C69" t="s">
        <v>507</v>
      </c>
      <c r="D69" t="s">
        <v>506</v>
      </c>
      <c r="E69" t="s">
        <v>503</v>
      </c>
      <c r="F69" t="s">
        <v>493</v>
      </c>
      <c r="G69" t="s">
        <v>564</v>
      </c>
      <c r="H69">
        <v>10966608</v>
      </c>
      <c r="I69" t="s">
        <v>965</v>
      </c>
      <c r="J69" t="s">
        <v>142</v>
      </c>
      <c r="K69" t="s">
        <v>787</v>
      </c>
      <c r="L69" t="str">
        <f>_xlfn.CONCAT("{ ",CHAR(34),"filename",CHAR(34),": ",CHAR(34),convertcsv[[#This Row],[neu]],CHAR(34),",",CHAR(34),"ticketuuid",CHAR(34),":"," ",CHAR(34),convertcsv[[#This Row],[ticketuid]],CHAR(34)," },")</f>
        <v>{ "filename": "zu löschen","ticketuuid": "FAFFDFFC66021FE0A3C469875B4B5F2B" },</v>
      </c>
      <c r="M69" t="s">
        <v>877</v>
      </c>
      <c r="N69" s="8" t="s">
        <v>1042</v>
      </c>
      <c r="O69" s="8" t="s">
        <v>1042</v>
      </c>
      <c r="P69" s="8" t="str">
        <f>convertcsv[[#This Row],[ticketuid]] &amp; "," &amp; convertcsv[[#This Row],[neu]]</f>
        <v>FAFFDFFC66021FE0A3C469875B4B5F2B,zu löschen</v>
      </c>
    </row>
    <row r="70" spans="1:16" hidden="1" x14ac:dyDescent="0.25">
      <c r="A70" t="s">
        <v>576</v>
      </c>
      <c r="B70" t="s">
        <v>501</v>
      </c>
      <c r="C70" t="s">
        <v>507</v>
      </c>
      <c r="D70" t="s">
        <v>506</v>
      </c>
      <c r="E70" t="s">
        <v>503</v>
      </c>
      <c r="F70" t="s">
        <v>493</v>
      </c>
      <c r="G70" t="s">
        <v>564</v>
      </c>
      <c r="H70">
        <v>10966604</v>
      </c>
      <c r="I70" t="s">
        <v>966</v>
      </c>
      <c r="J70" t="s">
        <v>708</v>
      </c>
      <c r="K70" t="s">
        <v>788</v>
      </c>
      <c r="L70" t="str">
        <f>_xlfn.CONCAT("{ ",CHAR(34),"filename",CHAR(34),": ",CHAR(34),convertcsv[[#This Row],[neu]],CHAR(34),",",CHAR(34),"ticketuuid",CHAR(34),":"," ",CHAR(34),convertcsv[[#This Row],[ticketuid]],CHAR(34)," },")</f>
        <v>{ "filename": "zu löschen","ticketuuid": "FAFFDFFC66021FD0A3C4638D40678C55" },</v>
      </c>
      <c r="M70" t="s">
        <v>878</v>
      </c>
      <c r="N70" s="8" t="s">
        <v>1042</v>
      </c>
      <c r="O70" s="8" t="s">
        <v>1042</v>
      </c>
      <c r="P70" s="8" t="str">
        <f>convertcsv[[#This Row],[ticketuid]] &amp; "," &amp; convertcsv[[#This Row],[neu]]</f>
        <v>FAFFDFFC66021FD0A3C4638D40678C55,zu löschen</v>
      </c>
    </row>
    <row r="71" spans="1:16" hidden="1" x14ac:dyDescent="0.25">
      <c r="A71" t="s">
        <v>577</v>
      </c>
      <c r="B71" t="s">
        <v>501</v>
      </c>
      <c r="C71" t="s">
        <v>507</v>
      </c>
      <c r="D71" t="s">
        <v>506</v>
      </c>
      <c r="E71" t="s">
        <v>503</v>
      </c>
      <c r="F71" t="s">
        <v>493</v>
      </c>
      <c r="G71" t="s">
        <v>564</v>
      </c>
      <c r="H71">
        <v>10966602</v>
      </c>
      <c r="I71" t="s">
        <v>967</v>
      </c>
      <c r="J71" t="s">
        <v>350</v>
      </c>
      <c r="K71" t="s">
        <v>789</v>
      </c>
      <c r="L71" t="str">
        <f>_xlfn.CONCAT("{ ",CHAR(34),"filename",CHAR(34),": ",CHAR(34),convertcsv[[#This Row],[neu]],CHAR(34),",",CHAR(34),"ticketuuid",CHAR(34),":"," ",CHAR(34),convertcsv[[#This Row],[ticketuid]],CHAR(34)," },")</f>
        <v>{ "filename": "zu löschen","ticketuuid": "FAFFDFFC66021FE0A3C45FA8C2C61767" },</v>
      </c>
      <c r="M71" t="s">
        <v>879</v>
      </c>
      <c r="N71" s="8" t="s">
        <v>1042</v>
      </c>
      <c r="O71" s="8" t="s">
        <v>1042</v>
      </c>
      <c r="P71" s="8" t="str">
        <f>convertcsv[[#This Row],[ticketuid]] &amp; "," &amp; convertcsv[[#This Row],[neu]]</f>
        <v>FAFFDFFC66021FE0A3C45FA8C2C61767,zu löschen</v>
      </c>
    </row>
    <row r="72" spans="1:16" hidden="1" x14ac:dyDescent="0.25">
      <c r="A72" t="s">
        <v>578</v>
      </c>
      <c r="B72" t="s">
        <v>501</v>
      </c>
      <c r="C72" t="s">
        <v>507</v>
      </c>
      <c r="D72" t="s">
        <v>506</v>
      </c>
      <c r="E72" t="s">
        <v>503</v>
      </c>
      <c r="F72" t="s">
        <v>493</v>
      </c>
      <c r="G72" t="s">
        <v>564</v>
      </c>
      <c r="H72">
        <v>10966599</v>
      </c>
      <c r="I72" t="s">
        <v>968</v>
      </c>
      <c r="J72" t="s">
        <v>709</v>
      </c>
      <c r="K72" t="s">
        <v>790</v>
      </c>
      <c r="L72" t="str">
        <f>_xlfn.CONCAT("{ ",CHAR(34),"filename",CHAR(34),": ",CHAR(34),convertcsv[[#This Row],[neu]],CHAR(34),",",CHAR(34),"ticketuuid",CHAR(34),":"," ",CHAR(34),convertcsv[[#This Row],[ticketuid]],CHAR(34)," },")</f>
        <v>{ "filename": "zu löschen","ticketuuid": "FAFFDFFC66021FD0A3C45BA0503B0E70" },</v>
      </c>
      <c r="M72" t="s">
        <v>880</v>
      </c>
      <c r="N72" s="8" t="s">
        <v>1042</v>
      </c>
      <c r="O72" s="8" t="s">
        <v>1042</v>
      </c>
      <c r="P72" s="8" t="str">
        <f>convertcsv[[#This Row],[ticketuid]] &amp; "," &amp; convertcsv[[#This Row],[neu]]</f>
        <v>FAFFDFFC66021FD0A3C45BA0503B0E70,zu löschen</v>
      </c>
    </row>
    <row r="73" spans="1:16" hidden="1" x14ac:dyDescent="0.25">
      <c r="A73" t="s">
        <v>579</v>
      </c>
      <c r="B73" t="s">
        <v>501</v>
      </c>
      <c r="C73" t="s">
        <v>507</v>
      </c>
      <c r="D73" t="s">
        <v>506</v>
      </c>
      <c r="E73" t="s">
        <v>503</v>
      </c>
      <c r="F73" t="s">
        <v>493</v>
      </c>
      <c r="G73" t="s">
        <v>564</v>
      </c>
      <c r="H73">
        <v>10966594</v>
      </c>
      <c r="I73" t="s">
        <v>969</v>
      </c>
      <c r="J73" t="s">
        <v>375</v>
      </c>
      <c r="K73" t="s">
        <v>791</v>
      </c>
      <c r="L73" t="str">
        <f>_xlfn.CONCAT("{ ",CHAR(34),"filename",CHAR(34),": ",CHAR(34),convertcsv[[#This Row],[neu]],CHAR(34),",",CHAR(34),"ticketuuid",CHAR(34),":"," ",CHAR(34),convertcsv[[#This Row],[ticketuid]],CHAR(34)," },")</f>
        <v>{ "filename": "zu löschen","ticketuuid": "FAFFDFFC66021FE0A3C4559DA28D02D1" },</v>
      </c>
      <c r="M73" t="s">
        <v>881</v>
      </c>
      <c r="N73" s="8" t="s">
        <v>1042</v>
      </c>
      <c r="O73" s="8" t="s">
        <v>1042</v>
      </c>
      <c r="P73" s="8" t="str">
        <f>convertcsv[[#This Row],[ticketuid]] &amp; "," &amp; convertcsv[[#This Row],[neu]]</f>
        <v>FAFFDFFC66021FE0A3C4559DA28D02D1,zu löschen</v>
      </c>
    </row>
    <row r="74" spans="1:16" hidden="1" x14ac:dyDescent="0.25">
      <c r="A74" t="s">
        <v>580</v>
      </c>
      <c r="B74" t="s">
        <v>501</v>
      </c>
      <c r="C74" t="s">
        <v>507</v>
      </c>
      <c r="D74" t="s">
        <v>506</v>
      </c>
      <c r="E74" t="s">
        <v>503</v>
      </c>
      <c r="F74" t="s">
        <v>493</v>
      </c>
      <c r="G74" t="s">
        <v>564</v>
      </c>
      <c r="H74">
        <v>10966591</v>
      </c>
      <c r="I74" t="s">
        <v>970</v>
      </c>
      <c r="J74" t="s">
        <v>268</v>
      </c>
      <c r="K74" t="s">
        <v>792</v>
      </c>
      <c r="L74" t="str">
        <f>_xlfn.CONCAT("{ ",CHAR(34),"filename",CHAR(34),": ",CHAR(34),convertcsv[[#This Row],[neu]],CHAR(34),",",CHAR(34),"ticketuuid",CHAR(34),":"," ",CHAR(34),convertcsv[[#This Row],[ticketuid]],CHAR(34)," },")</f>
        <v>{ "filename": "zu löschen","ticketuuid": "FAFFDFFC66021FD0A3C44FC0A36005B7" },</v>
      </c>
      <c r="M74" t="s">
        <v>882</v>
      </c>
      <c r="N74" s="8" t="s">
        <v>1042</v>
      </c>
      <c r="O74" s="8" t="s">
        <v>1042</v>
      </c>
      <c r="P74" s="8" t="str">
        <f>convertcsv[[#This Row],[ticketuid]] &amp; "," &amp; convertcsv[[#This Row],[neu]]</f>
        <v>FAFFDFFC66021FD0A3C44FC0A36005B7,zu löschen</v>
      </c>
    </row>
    <row r="75" spans="1:16" hidden="1" x14ac:dyDescent="0.25">
      <c r="A75" t="s">
        <v>581</v>
      </c>
      <c r="B75" t="s">
        <v>501</v>
      </c>
      <c r="C75" t="s">
        <v>507</v>
      </c>
      <c r="D75" t="s">
        <v>506</v>
      </c>
      <c r="E75" t="s">
        <v>503</v>
      </c>
      <c r="F75" t="s">
        <v>493</v>
      </c>
      <c r="G75" t="s">
        <v>564</v>
      </c>
      <c r="H75">
        <v>10966589</v>
      </c>
      <c r="I75" t="s">
        <v>971</v>
      </c>
      <c r="J75" t="s">
        <v>121</v>
      </c>
      <c r="K75" t="s">
        <v>793</v>
      </c>
      <c r="L75" t="str">
        <f>_xlfn.CONCAT("{ ",CHAR(34),"filename",CHAR(34),": ",CHAR(34),convertcsv[[#This Row],[neu]],CHAR(34),",",CHAR(34),"ticketuuid",CHAR(34),":"," ",CHAR(34),convertcsv[[#This Row],[ticketuid]],CHAR(34)," },")</f>
        <v>{ "filename": "zu löschen","ticketuuid": "FAFFDFFC66021FD0A3C44BFD8EAB5038" },</v>
      </c>
      <c r="M75" t="s">
        <v>883</v>
      </c>
      <c r="N75" s="8" t="s">
        <v>1042</v>
      </c>
      <c r="O75" s="8" t="s">
        <v>1042</v>
      </c>
      <c r="P75" s="8" t="str">
        <f>convertcsv[[#This Row],[ticketuid]] &amp; "," &amp; convertcsv[[#This Row],[neu]]</f>
        <v>FAFFDFFC66021FD0A3C44BFD8EAB5038,zu löschen</v>
      </c>
    </row>
    <row r="76" spans="1:16" hidden="1" x14ac:dyDescent="0.25">
      <c r="A76" t="s">
        <v>582</v>
      </c>
      <c r="B76" t="s">
        <v>501</v>
      </c>
      <c r="C76" t="s">
        <v>507</v>
      </c>
      <c r="D76" t="s">
        <v>506</v>
      </c>
      <c r="E76" t="s">
        <v>503</v>
      </c>
      <c r="F76" t="s">
        <v>493</v>
      </c>
      <c r="G76" t="s">
        <v>564</v>
      </c>
      <c r="H76">
        <v>10966588</v>
      </c>
      <c r="I76" t="s">
        <v>972</v>
      </c>
      <c r="J76" t="s">
        <v>710</v>
      </c>
      <c r="K76" t="s">
        <v>794</v>
      </c>
      <c r="L76" t="str">
        <f>_xlfn.CONCAT("{ ",CHAR(34),"filename",CHAR(34),": ",CHAR(34),convertcsv[[#This Row],[neu]],CHAR(34),",",CHAR(34),"ticketuuid",CHAR(34),":"," ",CHAR(34),convertcsv[[#This Row],[ticketuid]],CHAR(34)," },")</f>
        <v>{ "filename": "zu löschen","ticketuuid": "FAFFDFFC66021FE0A3C441403FDF1A2B" },</v>
      </c>
      <c r="M76" t="s">
        <v>884</v>
      </c>
      <c r="N76" s="8" t="s">
        <v>1042</v>
      </c>
      <c r="O76" s="8" t="s">
        <v>1042</v>
      </c>
      <c r="P76" s="8" t="str">
        <f>convertcsv[[#This Row],[ticketuid]] &amp; "," &amp; convertcsv[[#This Row],[neu]]</f>
        <v>FAFFDFFC66021FE0A3C441403FDF1A2B,zu löschen</v>
      </c>
    </row>
    <row r="77" spans="1:16" hidden="1" x14ac:dyDescent="0.25">
      <c r="A77" t="s">
        <v>583</v>
      </c>
      <c r="B77" t="s">
        <v>501</v>
      </c>
      <c r="C77" t="s">
        <v>507</v>
      </c>
      <c r="D77" t="s">
        <v>506</v>
      </c>
      <c r="E77" t="s">
        <v>503</v>
      </c>
      <c r="F77" t="s">
        <v>493</v>
      </c>
      <c r="G77" t="s">
        <v>564</v>
      </c>
      <c r="H77">
        <v>10966568</v>
      </c>
      <c r="I77" t="s">
        <v>973</v>
      </c>
      <c r="J77" t="s">
        <v>711</v>
      </c>
      <c r="K77" t="s">
        <v>795</v>
      </c>
      <c r="L77" t="str">
        <f>_xlfn.CONCAT("{ ",CHAR(34),"filename",CHAR(34),": ",CHAR(34),convertcsv[[#This Row],[neu]],CHAR(34),",",CHAR(34),"ticketuuid",CHAR(34),":"," ",CHAR(34),convertcsv[[#This Row],[ticketuid]],CHAR(34)," },")</f>
        <v>{ "filename": "zu löschen","ticketuuid": "FAFFDFFC66021FD0A3C3D8EA7B170164" },</v>
      </c>
      <c r="M77" t="s">
        <v>885</v>
      </c>
      <c r="N77" s="8" t="s">
        <v>1042</v>
      </c>
      <c r="O77" s="8" t="s">
        <v>1042</v>
      </c>
      <c r="P77" s="8" t="str">
        <f>convertcsv[[#This Row],[ticketuid]] &amp; "," &amp; convertcsv[[#This Row],[neu]]</f>
        <v>FAFFDFFC66021FD0A3C3D8EA7B170164,zu löschen</v>
      </c>
    </row>
    <row r="78" spans="1:16" hidden="1" x14ac:dyDescent="0.25">
      <c r="A78" t="s">
        <v>584</v>
      </c>
      <c r="B78" t="s">
        <v>501</v>
      </c>
      <c r="C78" t="s">
        <v>507</v>
      </c>
      <c r="D78" t="s">
        <v>506</v>
      </c>
      <c r="E78" t="s">
        <v>503</v>
      </c>
      <c r="F78" t="s">
        <v>493</v>
      </c>
      <c r="G78" t="s">
        <v>564</v>
      </c>
      <c r="H78">
        <v>10966498</v>
      </c>
      <c r="I78" t="s">
        <v>974</v>
      </c>
      <c r="J78" t="s">
        <v>290</v>
      </c>
      <c r="K78" t="s">
        <v>796</v>
      </c>
      <c r="L78" t="str">
        <f>_xlfn.CONCAT("{ ",CHAR(34),"filename",CHAR(34),": ",CHAR(34),convertcsv[[#This Row],[neu]],CHAR(34),",",CHAR(34),"ticketuuid",CHAR(34),":"," ",CHAR(34),convertcsv[[#This Row],[ticketuid]],CHAR(34)," },")</f>
        <v>{ "filename": "zu löschen","ticketuuid": "FAFFDFFC66021FE0A3C2E3C364B2DF8E" },</v>
      </c>
      <c r="M78" t="s">
        <v>886</v>
      </c>
      <c r="N78" s="8" t="s">
        <v>1042</v>
      </c>
      <c r="O78" s="8" t="s">
        <v>1042</v>
      </c>
      <c r="P78" s="8" t="str">
        <f>convertcsv[[#This Row],[ticketuid]] &amp; "," &amp; convertcsv[[#This Row],[neu]]</f>
        <v>FAFFDFFC66021FE0A3C2E3C364B2DF8E,zu löschen</v>
      </c>
    </row>
    <row r="79" spans="1:16" hidden="1" x14ac:dyDescent="0.25">
      <c r="A79" t="s">
        <v>585</v>
      </c>
      <c r="B79" t="s">
        <v>501</v>
      </c>
      <c r="C79" t="s">
        <v>507</v>
      </c>
      <c r="D79" t="s">
        <v>506</v>
      </c>
      <c r="E79" t="s">
        <v>503</v>
      </c>
      <c r="F79" t="s">
        <v>493</v>
      </c>
      <c r="G79" t="s">
        <v>564</v>
      </c>
      <c r="H79">
        <v>10966499</v>
      </c>
      <c r="I79" t="s">
        <v>975</v>
      </c>
      <c r="J79" t="s">
        <v>168</v>
      </c>
      <c r="K79" t="s">
        <v>797</v>
      </c>
      <c r="L79" t="str">
        <f>_xlfn.CONCAT("{ ",CHAR(34),"filename",CHAR(34),": ",CHAR(34),convertcsv[[#This Row],[neu]],CHAR(34),",",CHAR(34),"ticketuuid",CHAR(34),":"," ",CHAR(34),convertcsv[[#This Row],[ticketuid]],CHAR(34)," },")</f>
        <v>{ "filename": "zu löschen","ticketuuid": "FAFFDFFC66021FD0A3C2E4333327901E" },</v>
      </c>
      <c r="M79" t="s">
        <v>887</v>
      </c>
      <c r="N79" s="8" t="s">
        <v>1042</v>
      </c>
      <c r="O79" s="8" t="s">
        <v>1042</v>
      </c>
      <c r="P79" s="8" t="str">
        <f>convertcsv[[#This Row],[ticketuid]] &amp; "," &amp; convertcsv[[#This Row],[neu]]</f>
        <v>FAFFDFFC66021FD0A3C2E4333327901E,zu löschen</v>
      </c>
    </row>
    <row r="80" spans="1:16" hidden="1" x14ac:dyDescent="0.25">
      <c r="A80" t="s">
        <v>586</v>
      </c>
      <c r="B80" t="s">
        <v>501</v>
      </c>
      <c r="C80" t="s">
        <v>507</v>
      </c>
      <c r="D80" t="s">
        <v>506</v>
      </c>
      <c r="E80" t="s">
        <v>503</v>
      </c>
      <c r="F80" t="s">
        <v>493</v>
      </c>
      <c r="G80" t="s">
        <v>564</v>
      </c>
      <c r="H80">
        <v>10966495</v>
      </c>
      <c r="I80" t="s">
        <v>976</v>
      </c>
      <c r="J80" t="s">
        <v>712</v>
      </c>
      <c r="K80" t="s">
        <v>798</v>
      </c>
      <c r="L80" t="str">
        <f>_xlfn.CONCAT("{ ",CHAR(34),"filename",CHAR(34),": ",CHAR(34),convertcsv[[#This Row],[neu]],CHAR(34),",",CHAR(34),"ticketuuid",CHAR(34),":"," ",CHAR(34),convertcsv[[#This Row],[ticketuid]],CHAR(34)," },")</f>
        <v>{ "filename": "zu löschen","ticketuuid": "FAFFDFFC66021FD0A3C2D99FC2228767" },</v>
      </c>
      <c r="M80" t="s">
        <v>888</v>
      </c>
      <c r="N80" s="8" t="s">
        <v>1042</v>
      </c>
      <c r="O80" s="8" t="s">
        <v>1042</v>
      </c>
      <c r="P80" s="8" t="str">
        <f>convertcsv[[#This Row],[ticketuid]] &amp; "," &amp; convertcsv[[#This Row],[neu]]</f>
        <v>FAFFDFFC66021FD0A3C2D99FC2228767,zu löschen</v>
      </c>
    </row>
    <row r="81" spans="1:16" hidden="1" x14ac:dyDescent="0.25">
      <c r="A81" t="s">
        <v>587</v>
      </c>
      <c r="B81" t="s">
        <v>501</v>
      </c>
      <c r="C81" t="s">
        <v>507</v>
      </c>
      <c r="D81" t="s">
        <v>506</v>
      </c>
      <c r="E81" t="s">
        <v>503</v>
      </c>
      <c r="F81" t="s">
        <v>493</v>
      </c>
      <c r="G81" t="s">
        <v>564</v>
      </c>
      <c r="H81">
        <v>10966492</v>
      </c>
      <c r="I81" t="s">
        <v>977</v>
      </c>
      <c r="J81" t="s">
        <v>713</v>
      </c>
      <c r="K81" t="s">
        <v>799</v>
      </c>
      <c r="L81" t="str">
        <f>_xlfn.CONCAT("{ ",CHAR(34),"filename",CHAR(34),": ",CHAR(34),convertcsv[[#This Row],[neu]],CHAR(34),",",CHAR(34),"ticketuuid",CHAR(34),":"," ",CHAR(34),convertcsv[[#This Row],[ticketuid]],CHAR(34)," },")</f>
        <v>{ "filename": "zu löschen","ticketuuid": "FAFFDFFC66021FD0A3C2D457D8C8C65A" },</v>
      </c>
      <c r="M81" t="s">
        <v>889</v>
      </c>
      <c r="N81" s="8" t="s">
        <v>1042</v>
      </c>
      <c r="O81" s="8" t="s">
        <v>1042</v>
      </c>
      <c r="P81" s="8" t="str">
        <f>convertcsv[[#This Row],[ticketuid]] &amp; "," &amp; convertcsv[[#This Row],[neu]]</f>
        <v>FAFFDFFC66021FD0A3C2D457D8C8C65A,zu löschen</v>
      </c>
    </row>
    <row r="82" spans="1:16" hidden="1" x14ac:dyDescent="0.25">
      <c r="A82" t="s">
        <v>588</v>
      </c>
      <c r="B82" t="s">
        <v>501</v>
      </c>
      <c r="C82" t="s">
        <v>507</v>
      </c>
      <c r="D82" t="s">
        <v>506</v>
      </c>
      <c r="E82" t="s">
        <v>503</v>
      </c>
      <c r="F82" t="s">
        <v>493</v>
      </c>
      <c r="G82" t="s">
        <v>564</v>
      </c>
      <c r="H82">
        <v>10966488</v>
      </c>
      <c r="I82" t="s">
        <v>978</v>
      </c>
      <c r="J82" t="s">
        <v>714</v>
      </c>
      <c r="K82" t="s">
        <v>800</v>
      </c>
      <c r="L82" t="str">
        <f>_xlfn.CONCAT("{ ",CHAR(34),"filename",CHAR(34),": ",CHAR(34),convertcsv[[#This Row],[neu]],CHAR(34),",",CHAR(34),"ticketuuid",CHAR(34),":"," ",CHAR(34),convertcsv[[#This Row],[ticketuid]],CHAR(34)," },")</f>
        <v>{ "filename": "zu löschen","ticketuuid": "FAFFDFFC66021FD0A3C2CD4B2747CA8D" },</v>
      </c>
      <c r="M82" t="s">
        <v>890</v>
      </c>
      <c r="N82" s="8" t="s">
        <v>1042</v>
      </c>
      <c r="O82" s="8" t="s">
        <v>1042</v>
      </c>
      <c r="P82" s="8" t="str">
        <f>convertcsv[[#This Row],[ticketuid]] &amp; "," &amp; convertcsv[[#This Row],[neu]]</f>
        <v>FAFFDFFC66021FD0A3C2CD4B2747CA8D,zu löschen</v>
      </c>
    </row>
    <row r="83" spans="1:16" hidden="1" x14ac:dyDescent="0.25">
      <c r="A83" t="s">
        <v>589</v>
      </c>
      <c r="B83" t="s">
        <v>501</v>
      </c>
      <c r="C83" t="s">
        <v>507</v>
      </c>
      <c r="D83" t="s">
        <v>506</v>
      </c>
      <c r="E83" t="s">
        <v>503</v>
      </c>
      <c r="F83" t="s">
        <v>493</v>
      </c>
      <c r="G83" t="s">
        <v>564</v>
      </c>
      <c r="H83">
        <v>10966485</v>
      </c>
      <c r="I83" t="s">
        <v>979</v>
      </c>
      <c r="J83" t="s">
        <v>715</v>
      </c>
      <c r="K83" t="s">
        <v>801</v>
      </c>
      <c r="L83" t="str">
        <f>_xlfn.CONCAT("{ ",CHAR(34),"filename",CHAR(34),": ",CHAR(34),convertcsv[[#This Row],[neu]],CHAR(34),",",CHAR(34),"ticketuuid",CHAR(34),":"," ",CHAR(34),convertcsv[[#This Row],[ticketuid]],CHAR(34)," },")</f>
        <v>{ "filename": "zu löschen","ticketuuid": "FAFFDFFC66021FE0A3C2C9735E87C3E7" },</v>
      </c>
      <c r="M83" t="s">
        <v>891</v>
      </c>
      <c r="N83" s="8" t="s">
        <v>1042</v>
      </c>
      <c r="O83" s="8" t="s">
        <v>1042</v>
      </c>
      <c r="P83" s="8" t="str">
        <f>convertcsv[[#This Row],[ticketuid]] &amp; "," &amp; convertcsv[[#This Row],[neu]]</f>
        <v>FAFFDFFC66021FE0A3C2C9735E87C3E7,zu löschen</v>
      </c>
    </row>
    <row r="84" spans="1:16" hidden="1" x14ac:dyDescent="0.25">
      <c r="A84" t="s">
        <v>590</v>
      </c>
      <c r="B84" t="s">
        <v>501</v>
      </c>
      <c r="C84" t="s">
        <v>507</v>
      </c>
      <c r="D84" t="s">
        <v>506</v>
      </c>
      <c r="E84" t="s">
        <v>503</v>
      </c>
      <c r="F84" t="s">
        <v>493</v>
      </c>
      <c r="G84" t="s">
        <v>564</v>
      </c>
      <c r="H84">
        <v>10966483</v>
      </c>
      <c r="I84" t="s">
        <v>980</v>
      </c>
      <c r="J84" t="s">
        <v>716</v>
      </c>
      <c r="K84" t="s">
        <v>802</v>
      </c>
      <c r="L84" t="str">
        <f>_xlfn.CONCAT("{ ",CHAR(34),"filename",CHAR(34),": ",CHAR(34),convertcsv[[#This Row],[neu]],CHAR(34),",",CHAR(34),"ticketuuid",CHAR(34),":"," ",CHAR(34),convertcsv[[#This Row],[ticketuid]],CHAR(34)," },")</f>
        <v>{ "filename": "zu löschen","ticketuuid": "FAFFDFFC66021FE0A3C2C50A1A6F82D1" },</v>
      </c>
      <c r="M84" t="s">
        <v>892</v>
      </c>
      <c r="N84" s="8" t="s">
        <v>1042</v>
      </c>
      <c r="O84" s="8" t="s">
        <v>1042</v>
      </c>
      <c r="P84" s="8" t="str">
        <f>convertcsv[[#This Row],[ticketuid]] &amp; "," &amp; convertcsv[[#This Row],[neu]]</f>
        <v>FAFFDFFC66021FE0A3C2C50A1A6F82D1,zu löschen</v>
      </c>
    </row>
    <row r="85" spans="1:16" hidden="1" x14ac:dyDescent="0.25">
      <c r="A85" t="s">
        <v>591</v>
      </c>
      <c r="B85" t="s">
        <v>501</v>
      </c>
      <c r="C85" t="s">
        <v>507</v>
      </c>
      <c r="D85" t="s">
        <v>506</v>
      </c>
      <c r="E85" t="s">
        <v>503</v>
      </c>
      <c r="F85" t="s">
        <v>493</v>
      </c>
      <c r="G85" t="s">
        <v>564</v>
      </c>
      <c r="H85">
        <v>10966482</v>
      </c>
      <c r="I85" t="s">
        <v>981</v>
      </c>
      <c r="J85" t="s">
        <v>717</v>
      </c>
      <c r="K85" t="s">
        <v>803</v>
      </c>
      <c r="L85" t="str">
        <f>_xlfn.CONCAT("{ ",CHAR(34),"filename",CHAR(34),": ",CHAR(34),convertcsv[[#This Row],[neu]],CHAR(34),",",CHAR(34),"ticketuuid",CHAR(34),":"," ",CHAR(34),convertcsv[[#This Row],[ticketuid]],CHAR(34)," },")</f>
        <v>{ "filename": "zu löschen","ticketuuid": "FAFFDFFC66021FD0A3C2C03A97F9DDA3" },</v>
      </c>
      <c r="M85" t="s">
        <v>893</v>
      </c>
      <c r="N85" s="8" t="s">
        <v>1042</v>
      </c>
      <c r="O85" s="8" t="s">
        <v>1042</v>
      </c>
      <c r="P85" s="8" t="str">
        <f>convertcsv[[#This Row],[ticketuid]] &amp; "," &amp; convertcsv[[#This Row],[neu]]</f>
        <v>FAFFDFFC66021FD0A3C2C03A97F9DDA3,zu löschen</v>
      </c>
    </row>
    <row r="86" spans="1:16" hidden="1" x14ac:dyDescent="0.25">
      <c r="A86" t="s">
        <v>592</v>
      </c>
      <c r="B86" t="s">
        <v>501</v>
      </c>
      <c r="C86" t="s">
        <v>507</v>
      </c>
      <c r="D86" t="s">
        <v>506</v>
      </c>
      <c r="E86" t="s">
        <v>503</v>
      </c>
      <c r="F86" t="s">
        <v>493</v>
      </c>
      <c r="G86" t="s">
        <v>564</v>
      </c>
      <c r="H86">
        <v>10966481</v>
      </c>
      <c r="I86" t="s">
        <v>982</v>
      </c>
      <c r="J86" t="s">
        <v>320</v>
      </c>
      <c r="K86" t="s">
        <v>804</v>
      </c>
      <c r="L86" t="str">
        <f>_xlfn.CONCAT("{ ",CHAR(34),"filename",CHAR(34),": ",CHAR(34),convertcsv[[#This Row],[neu]],CHAR(34),",",CHAR(34),"ticketuuid",CHAR(34),":"," ",CHAR(34),convertcsv[[#This Row],[ticketuid]],CHAR(34)," },")</f>
        <v>{ "filename": "zu löschen","ticketuuid": "FAFFDFFC66021FD0A3C2BB587BD3861B" },</v>
      </c>
      <c r="M86" t="s">
        <v>894</v>
      </c>
      <c r="N86" s="8" t="s">
        <v>1042</v>
      </c>
      <c r="O86" s="8" t="s">
        <v>1042</v>
      </c>
      <c r="P86" s="8" t="str">
        <f>convertcsv[[#This Row],[ticketuid]] &amp; "," &amp; convertcsv[[#This Row],[neu]]</f>
        <v>FAFFDFFC66021FD0A3C2BB587BD3861B,zu löschen</v>
      </c>
    </row>
    <row r="87" spans="1:16" hidden="1" x14ac:dyDescent="0.25">
      <c r="A87" t="s">
        <v>593</v>
      </c>
      <c r="B87" t="s">
        <v>501</v>
      </c>
      <c r="C87" t="s">
        <v>507</v>
      </c>
      <c r="D87" t="s">
        <v>506</v>
      </c>
      <c r="E87" t="s">
        <v>503</v>
      </c>
      <c r="F87" t="s">
        <v>493</v>
      </c>
      <c r="G87" t="s">
        <v>564</v>
      </c>
      <c r="H87">
        <v>10966479</v>
      </c>
      <c r="I87" t="s">
        <v>983</v>
      </c>
      <c r="J87" t="s">
        <v>310</v>
      </c>
      <c r="K87" t="s">
        <v>805</v>
      </c>
      <c r="L87" t="str">
        <f>_xlfn.CONCAT("{ ",CHAR(34),"filename",CHAR(34),": ",CHAR(34),convertcsv[[#This Row],[neu]],CHAR(34),",",CHAR(34),"ticketuuid",CHAR(34),":"," ",CHAR(34),convertcsv[[#This Row],[ticketuid]],CHAR(34)," },")</f>
        <v>{ "filename": "zu löschen","ticketuuid": "FAFFDFFC66021FD0A3C2B665BD4385C5" },</v>
      </c>
      <c r="M87" t="s">
        <v>895</v>
      </c>
      <c r="N87" s="8" t="s">
        <v>1042</v>
      </c>
      <c r="O87" s="8" t="s">
        <v>1042</v>
      </c>
      <c r="P87" s="8" t="str">
        <f>convertcsv[[#This Row],[ticketuid]] &amp; "," &amp; convertcsv[[#This Row],[neu]]</f>
        <v>FAFFDFFC66021FD0A3C2B665BD4385C5,zu löschen</v>
      </c>
    </row>
    <row r="88" spans="1:16" hidden="1" x14ac:dyDescent="0.25">
      <c r="A88" t="s">
        <v>594</v>
      </c>
      <c r="B88" t="s">
        <v>501</v>
      </c>
      <c r="C88" t="s">
        <v>507</v>
      </c>
      <c r="D88" t="s">
        <v>506</v>
      </c>
      <c r="E88" t="s">
        <v>503</v>
      </c>
      <c r="F88" t="s">
        <v>493</v>
      </c>
      <c r="G88" t="s">
        <v>564</v>
      </c>
      <c r="H88">
        <v>10966474</v>
      </c>
      <c r="I88" t="s">
        <v>984</v>
      </c>
      <c r="J88" t="s">
        <v>718</v>
      </c>
      <c r="K88" t="s">
        <v>806</v>
      </c>
      <c r="L88" t="str">
        <f>_xlfn.CONCAT("{ ",CHAR(34),"filename",CHAR(34),": ",CHAR(34),convertcsv[[#This Row],[neu]],CHAR(34),",",CHAR(34),"ticketuuid",CHAR(34),":"," ",CHAR(34),convertcsv[[#This Row],[ticketuid]],CHAR(34)," },")</f>
        <v>{ "filename": "zu löschen","ticketuuid": "FAFFDFFC66021FD0A3C2A8EDCC3C863A" },</v>
      </c>
      <c r="M88" t="s">
        <v>896</v>
      </c>
      <c r="N88" s="8" t="s">
        <v>1042</v>
      </c>
      <c r="O88" s="8" t="s">
        <v>1042</v>
      </c>
      <c r="P88" s="8" t="str">
        <f>convertcsv[[#This Row],[ticketuid]] &amp; "," &amp; convertcsv[[#This Row],[neu]]</f>
        <v>FAFFDFFC66021FD0A3C2A8EDCC3C863A,zu löschen</v>
      </c>
    </row>
    <row r="89" spans="1:16" hidden="1" x14ac:dyDescent="0.25">
      <c r="A89" t="s">
        <v>595</v>
      </c>
      <c r="B89" t="s">
        <v>501</v>
      </c>
      <c r="C89" t="s">
        <v>507</v>
      </c>
      <c r="D89" t="s">
        <v>506</v>
      </c>
      <c r="E89" t="s">
        <v>503</v>
      </c>
      <c r="F89" t="s">
        <v>493</v>
      </c>
      <c r="G89" t="s">
        <v>596</v>
      </c>
      <c r="H89">
        <v>10966273</v>
      </c>
      <c r="I89" t="s">
        <v>985</v>
      </c>
      <c r="J89" t="s">
        <v>335</v>
      </c>
      <c r="K89" t="s">
        <v>807</v>
      </c>
      <c r="L89" t="str">
        <f>_xlfn.CONCAT("{ ",CHAR(34),"filename",CHAR(34),": ",CHAR(34),convertcsv[[#This Row],[neu]],CHAR(34),",",CHAR(34),"ticketuuid",CHAR(34),":"," ",CHAR(34),convertcsv[[#This Row],[ticketuid]],CHAR(34)," },")</f>
        <v>{ "filename": "zu löschen","ticketuuid": "FAFFDFFC66021FE0A3B3D0B8D0F85C0C" },</v>
      </c>
      <c r="M89" t="s">
        <v>897</v>
      </c>
      <c r="N89" s="8" t="s">
        <v>1042</v>
      </c>
      <c r="O89" s="8" t="s">
        <v>1042</v>
      </c>
      <c r="P89" s="8" t="str">
        <f>convertcsv[[#This Row],[ticketuid]] &amp; "," &amp; convertcsv[[#This Row],[neu]]</f>
        <v>FAFFDFFC66021FE0A3B3D0B8D0F85C0C,zu löschen</v>
      </c>
    </row>
  </sheetData>
  <hyperlinks>
    <hyperlink ref="I5" r:id="rId1" location="ServiceOrder-approve&amp;/ticket/FAFFDFFC66021FE0A3DBF87045F80247" xr:uid="{C774A1C4-757D-43AE-8EFE-0747596ECF06}"/>
    <hyperlink ref="I58" r:id="rId2" location="ServiceOrder-approve&amp;/ticket/FAFFDFFC66021FE0A3CA094C8E2DDEC3" xr:uid="{5A66F14E-EBB3-4CAA-B34D-D5D2C7220595}"/>
    <hyperlink ref="I59" r:id="rId3" location="ServiceOrder-approve&amp;/ticket/FAFFDFFC66021FD0A3C8BB18D4C759DC" xr:uid="{F74F9675-C49F-46EB-BB9C-B03ED6A54E2A}"/>
  </hyperlinks>
  <pageMargins left="0.7" right="0.7" top="0.78740157499999996" bottom="0.78740157499999996" header="0.3" footer="0.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4EB01-5157-41E2-8A89-5A106297A9EB}">
  <dimension ref="A1:A3"/>
  <sheetViews>
    <sheetView workbookViewId="0">
      <selection activeCell="A3" sqref="A3"/>
    </sheetView>
  </sheetViews>
  <sheetFormatPr baseColWidth="10" defaultRowHeight="15" x14ac:dyDescent="0.25"/>
  <sheetData>
    <row r="1" spans="1:1" x14ac:dyDescent="0.25">
      <c r="A1" t="s">
        <v>1044</v>
      </c>
    </row>
    <row r="2" spans="1:1" x14ac:dyDescent="0.25">
      <c r="A2" t="s">
        <v>1045</v>
      </c>
    </row>
    <row r="3" spans="1:1" x14ac:dyDescent="0.25">
      <c r="A3" t="s">
        <v>1046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BDDB1-F864-4C51-B010-1AF1D4FAA273}">
  <dimension ref="B1:B98"/>
  <sheetViews>
    <sheetView workbookViewId="0">
      <selection activeCell="B1" sqref="B1:B98"/>
    </sheetView>
  </sheetViews>
  <sheetFormatPr baseColWidth="10" defaultRowHeight="15" x14ac:dyDescent="0.25"/>
  <cols>
    <col min="2" max="2" width="93" bestFit="1" customWidth="1"/>
  </cols>
  <sheetData>
    <row r="1" spans="2:2" x14ac:dyDescent="0.25">
      <c r="B1" t="s">
        <v>597</v>
      </c>
    </row>
    <row r="2" spans="2:2" x14ac:dyDescent="0.25">
      <c r="B2" t="s">
        <v>598</v>
      </c>
    </row>
    <row r="3" spans="2:2" x14ac:dyDescent="0.25">
      <c r="B3" t="s">
        <v>599</v>
      </c>
    </row>
    <row r="4" spans="2:2" x14ac:dyDescent="0.25">
      <c r="B4" t="s">
        <v>600</v>
      </c>
    </row>
    <row r="5" spans="2:2" x14ac:dyDescent="0.25">
      <c r="B5" t="s">
        <v>601</v>
      </c>
    </row>
    <row r="6" spans="2:2" x14ac:dyDescent="0.25">
      <c r="B6" t="s">
        <v>602</v>
      </c>
    </row>
    <row r="7" spans="2:2" x14ac:dyDescent="0.25">
      <c r="B7" t="s">
        <v>603</v>
      </c>
    </row>
    <row r="8" spans="2:2" x14ac:dyDescent="0.25">
      <c r="B8" t="s">
        <v>604</v>
      </c>
    </row>
    <row r="9" spans="2:2" x14ac:dyDescent="0.25">
      <c r="B9" t="s">
        <v>605</v>
      </c>
    </row>
    <row r="10" spans="2:2" x14ac:dyDescent="0.25">
      <c r="B10" t="s">
        <v>606</v>
      </c>
    </row>
    <row r="11" spans="2:2" x14ac:dyDescent="0.25">
      <c r="B11" t="s">
        <v>607</v>
      </c>
    </row>
    <row r="12" spans="2:2" x14ac:dyDescent="0.25">
      <c r="B12" t="s">
        <v>608</v>
      </c>
    </row>
    <row r="13" spans="2:2" x14ac:dyDescent="0.25">
      <c r="B13" t="s">
        <v>609</v>
      </c>
    </row>
    <row r="14" spans="2:2" x14ac:dyDescent="0.25">
      <c r="B14" t="s">
        <v>610</v>
      </c>
    </row>
    <row r="15" spans="2:2" x14ac:dyDescent="0.25">
      <c r="B15" t="s">
        <v>611</v>
      </c>
    </row>
    <row r="16" spans="2:2" x14ac:dyDescent="0.25">
      <c r="B16" t="s">
        <v>612</v>
      </c>
    </row>
    <row r="17" spans="2:2" x14ac:dyDescent="0.25">
      <c r="B17" t="s">
        <v>613</v>
      </c>
    </row>
    <row r="18" spans="2:2" x14ac:dyDescent="0.25">
      <c r="B18" t="s">
        <v>614</v>
      </c>
    </row>
    <row r="19" spans="2:2" x14ac:dyDescent="0.25">
      <c r="B19" t="s">
        <v>615</v>
      </c>
    </row>
    <row r="20" spans="2:2" x14ac:dyDescent="0.25">
      <c r="B20" t="s">
        <v>616</v>
      </c>
    </row>
    <row r="21" spans="2:2" x14ac:dyDescent="0.25">
      <c r="B21" t="s">
        <v>617</v>
      </c>
    </row>
    <row r="22" spans="2:2" x14ac:dyDescent="0.25">
      <c r="B22" t="s">
        <v>618</v>
      </c>
    </row>
    <row r="23" spans="2:2" x14ac:dyDescent="0.25">
      <c r="B23" t="s">
        <v>619</v>
      </c>
    </row>
    <row r="24" spans="2:2" x14ac:dyDescent="0.25">
      <c r="B24" t="s">
        <v>620</v>
      </c>
    </row>
    <row r="25" spans="2:2" x14ac:dyDescent="0.25">
      <c r="B25" t="s">
        <v>621</v>
      </c>
    </row>
    <row r="26" spans="2:2" x14ac:dyDescent="0.25">
      <c r="B26" t="s">
        <v>622</v>
      </c>
    </row>
    <row r="27" spans="2:2" x14ac:dyDescent="0.25">
      <c r="B27" t="s">
        <v>623</v>
      </c>
    </row>
    <row r="28" spans="2:2" x14ac:dyDescent="0.25">
      <c r="B28" t="s">
        <v>624</v>
      </c>
    </row>
    <row r="29" spans="2:2" x14ac:dyDescent="0.25">
      <c r="B29" t="s">
        <v>625</v>
      </c>
    </row>
    <row r="30" spans="2:2" x14ac:dyDescent="0.25">
      <c r="B30" t="s">
        <v>626</v>
      </c>
    </row>
    <row r="31" spans="2:2" x14ac:dyDescent="0.25">
      <c r="B31" t="s">
        <v>627</v>
      </c>
    </row>
    <row r="32" spans="2:2" x14ac:dyDescent="0.25">
      <c r="B32" t="s">
        <v>628</v>
      </c>
    </row>
    <row r="33" spans="2:2" x14ac:dyDescent="0.25">
      <c r="B33" t="s">
        <v>629</v>
      </c>
    </row>
    <row r="34" spans="2:2" x14ac:dyDescent="0.25">
      <c r="B34" t="s">
        <v>630</v>
      </c>
    </row>
    <row r="35" spans="2:2" x14ac:dyDescent="0.25">
      <c r="B35" t="s">
        <v>631</v>
      </c>
    </row>
    <row r="36" spans="2:2" x14ac:dyDescent="0.25">
      <c r="B36" t="s">
        <v>632</v>
      </c>
    </row>
    <row r="37" spans="2:2" x14ac:dyDescent="0.25">
      <c r="B37" t="s">
        <v>633</v>
      </c>
    </row>
    <row r="38" spans="2:2" x14ac:dyDescent="0.25">
      <c r="B38" t="s">
        <v>634</v>
      </c>
    </row>
    <row r="39" spans="2:2" x14ac:dyDescent="0.25">
      <c r="B39" t="s">
        <v>635</v>
      </c>
    </row>
    <row r="40" spans="2:2" x14ac:dyDescent="0.25">
      <c r="B40" t="s">
        <v>636</v>
      </c>
    </row>
    <row r="41" spans="2:2" x14ac:dyDescent="0.25">
      <c r="B41" t="s">
        <v>637</v>
      </c>
    </row>
    <row r="42" spans="2:2" x14ac:dyDescent="0.25">
      <c r="B42" t="s">
        <v>638</v>
      </c>
    </row>
    <row r="43" spans="2:2" x14ac:dyDescent="0.25">
      <c r="B43" t="s">
        <v>639</v>
      </c>
    </row>
    <row r="44" spans="2:2" x14ac:dyDescent="0.25">
      <c r="B44" t="s">
        <v>640</v>
      </c>
    </row>
    <row r="45" spans="2:2" x14ac:dyDescent="0.25">
      <c r="B45" t="s">
        <v>641</v>
      </c>
    </row>
    <row r="46" spans="2:2" x14ac:dyDescent="0.25">
      <c r="B46" t="s">
        <v>642</v>
      </c>
    </row>
    <row r="47" spans="2:2" x14ac:dyDescent="0.25">
      <c r="B47" t="s">
        <v>643</v>
      </c>
    </row>
    <row r="48" spans="2:2" x14ac:dyDescent="0.25">
      <c r="B48" t="s">
        <v>644</v>
      </c>
    </row>
    <row r="49" spans="2:2" x14ac:dyDescent="0.25">
      <c r="B49" t="s">
        <v>645</v>
      </c>
    </row>
    <row r="50" spans="2:2" x14ac:dyDescent="0.25">
      <c r="B50" t="s">
        <v>646</v>
      </c>
    </row>
    <row r="51" spans="2:2" x14ac:dyDescent="0.25">
      <c r="B51" t="s">
        <v>647</v>
      </c>
    </row>
    <row r="52" spans="2:2" x14ac:dyDescent="0.25">
      <c r="B52" t="s">
        <v>648</v>
      </c>
    </row>
    <row r="53" spans="2:2" x14ac:dyDescent="0.25">
      <c r="B53" t="s">
        <v>649</v>
      </c>
    </row>
    <row r="54" spans="2:2" x14ac:dyDescent="0.25">
      <c r="B54" t="s">
        <v>650</v>
      </c>
    </row>
    <row r="55" spans="2:2" x14ac:dyDescent="0.25">
      <c r="B55" t="s">
        <v>651</v>
      </c>
    </row>
    <row r="56" spans="2:2" x14ac:dyDescent="0.25">
      <c r="B56" t="s">
        <v>652</v>
      </c>
    </row>
    <row r="57" spans="2:2" x14ac:dyDescent="0.25">
      <c r="B57" t="s">
        <v>653</v>
      </c>
    </row>
    <row r="58" spans="2:2" x14ac:dyDescent="0.25">
      <c r="B58" t="s">
        <v>654</v>
      </c>
    </row>
    <row r="59" spans="2:2" x14ac:dyDescent="0.25">
      <c r="B59" t="s">
        <v>655</v>
      </c>
    </row>
    <row r="60" spans="2:2" x14ac:dyDescent="0.25">
      <c r="B60" t="s">
        <v>656</v>
      </c>
    </row>
    <row r="61" spans="2:2" x14ac:dyDescent="0.25">
      <c r="B61" t="s">
        <v>657</v>
      </c>
    </row>
    <row r="62" spans="2:2" x14ac:dyDescent="0.25">
      <c r="B62" t="s">
        <v>658</v>
      </c>
    </row>
    <row r="63" spans="2:2" x14ac:dyDescent="0.25">
      <c r="B63" t="s">
        <v>659</v>
      </c>
    </row>
    <row r="64" spans="2:2" x14ac:dyDescent="0.25">
      <c r="B64" t="s">
        <v>660</v>
      </c>
    </row>
    <row r="65" spans="2:2" x14ac:dyDescent="0.25">
      <c r="B65" t="s">
        <v>661</v>
      </c>
    </row>
    <row r="66" spans="2:2" x14ac:dyDescent="0.25">
      <c r="B66" t="s">
        <v>662</v>
      </c>
    </row>
    <row r="67" spans="2:2" x14ac:dyDescent="0.25">
      <c r="B67" t="s">
        <v>663</v>
      </c>
    </row>
    <row r="68" spans="2:2" x14ac:dyDescent="0.25">
      <c r="B68" t="s">
        <v>664</v>
      </c>
    </row>
    <row r="69" spans="2:2" x14ac:dyDescent="0.25">
      <c r="B69" t="s">
        <v>665</v>
      </c>
    </row>
    <row r="70" spans="2:2" x14ac:dyDescent="0.25">
      <c r="B70" t="s">
        <v>666</v>
      </c>
    </row>
    <row r="71" spans="2:2" x14ac:dyDescent="0.25">
      <c r="B71" t="s">
        <v>667</v>
      </c>
    </row>
    <row r="72" spans="2:2" x14ac:dyDescent="0.25">
      <c r="B72" t="s">
        <v>668</v>
      </c>
    </row>
    <row r="73" spans="2:2" x14ac:dyDescent="0.25">
      <c r="B73" t="s">
        <v>669</v>
      </c>
    </row>
    <row r="74" spans="2:2" x14ac:dyDescent="0.25">
      <c r="B74" t="s">
        <v>670</v>
      </c>
    </row>
    <row r="75" spans="2:2" x14ac:dyDescent="0.25">
      <c r="B75" t="s">
        <v>671</v>
      </c>
    </row>
    <row r="76" spans="2:2" x14ac:dyDescent="0.25">
      <c r="B76" t="s">
        <v>672</v>
      </c>
    </row>
    <row r="77" spans="2:2" x14ac:dyDescent="0.25">
      <c r="B77" t="s">
        <v>673</v>
      </c>
    </row>
    <row r="78" spans="2:2" x14ac:dyDescent="0.25">
      <c r="B78" t="s">
        <v>674</v>
      </c>
    </row>
    <row r="79" spans="2:2" x14ac:dyDescent="0.25">
      <c r="B79" t="s">
        <v>675</v>
      </c>
    </row>
    <row r="80" spans="2:2" x14ac:dyDescent="0.25">
      <c r="B80" t="s">
        <v>676</v>
      </c>
    </row>
    <row r="81" spans="2:2" x14ac:dyDescent="0.25">
      <c r="B81" t="s">
        <v>677</v>
      </c>
    </row>
    <row r="82" spans="2:2" x14ac:dyDescent="0.25">
      <c r="B82" t="s">
        <v>678</v>
      </c>
    </row>
    <row r="83" spans="2:2" x14ac:dyDescent="0.25">
      <c r="B83" t="s">
        <v>679</v>
      </c>
    </row>
    <row r="84" spans="2:2" x14ac:dyDescent="0.25">
      <c r="B84" t="s">
        <v>680</v>
      </c>
    </row>
    <row r="85" spans="2:2" x14ac:dyDescent="0.25">
      <c r="B85" t="s">
        <v>681</v>
      </c>
    </row>
    <row r="86" spans="2:2" x14ac:dyDescent="0.25">
      <c r="B86" t="s">
        <v>682</v>
      </c>
    </row>
    <row r="87" spans="2:2" x14ac:dyDescent="0.25">
      <c r="B87" t="s">
        <v>683</v>
      </c>
    </row>
    <row r="88" spans="2:2" x14ac:dyDescent="0.25">
      <c r="B88" t="s">
        <v>684</v>
      </c>
    </row>
    <row r="89" spans="2:2" x14ac:dyDescent="0.25">
      <c r="B89" t="s">
        <v>685</v>
      </c>
    </row>
    <row r="90" spans="2:2" x14ac:dyDescent="0.25">
      <c r="B90" t="s">
        <v>686</v>
      </c>
    </row>
    <row r="91" spans="2:2" x14ac:dyDescent="0.25">
      <c r="B91" t="s">
        <v>687</v>
      </c>
    </row>
    <row r="92" spans="2:2" x14ac:dyDescent="0.25">
      <c r="B92" t="s">
        <v>688</v>
      </c>
    </row>
    <row r="93" spans="2:2" x14ac:dyDescent="0.25">
      <c r="B93" t="s">
        <v>689</v>
      </c>
    </row>
    <row r="94" spans="2:2" x14ac:dyDescent="0.25">
      <c r="B94" t="s">
        <v>690</v>
      </c>
    </row>
    <row r="95" spans="2:2" x14ac:dyDescent="0.25">
      <c r="B95" t="s">
        <v>691</v>
      </c>
    </row>
    <row r="96" spans="2:2" x14ac:dyDescent="0.25">
      <c r="B96" t="s">
        <v>692</v>
      </c>
    </row>
    <row r="97" spans="2:2" x14ac:dyDescent="0.25">
      <c r="B97" t="s">
        <v>693</v>
      </c>
    </row>
    <row r="98" spans="2:2" x14ac:dyDescent="0.25">
      <c r="B98" t="s">
        <v>694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2E2F3-4B56-4D52-8CE3-9CF367E64814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E8558-757F-44B3-92E0-BBCEB63C2D3A}">
  <dimension ref="A1:E57"/>
  <sheetViews>
    <sheetView topLeftCell="A55" workbookViewId="0">
      <selection activeCell="I11" sqref="I11"/>
    </sheetView>
  </sheetViews>
  <sheetFormatPr baseColWidth="10" defaultRowHeight="15" x14ac:dyDescent="0.25"/>
  <cols>
    <col min="1" max="1" width="7.42578125" bestFit="1" customWidth="1"/>
    <col min="2" max="2" width="9" bestFit="1" customWidth="1"/>
    <col min="3" max="3" width="45.28515625" bestFit="1" customWidth="1"/>
    <col min="4" max="4" width="23.42578125" bestFit="1" customWidth="1"/>
    <col min="5" max="5" width="21.7109375" bestFit="1" customWidth="1"/>
  </cols>
  <sheetData>
    <row r="1" spans="1:5" ht="16.5" customHeight="1" x14ac:dyDescent="0.25">
      <c r="A1" s="5" t="s">
        <v>377</v>
      </c>
      <c r="B1" s="5" t="s">
        <v>378</v>
      </c>
      <c r="C1" s="5" t="s">
        <v>379</v>
      </c>
      <c r="D1" s="5" t="s">
        <v>380</v>
      </c>
    </row>
    <row r="2" spans="1:5" ht="16.5" customHeight="1" x14ac:dyDescent="0.25">
      <c r="A2" s="6">
        <v>0</v>
      </c>
      <c r="B2" s="6">
        <v>10967458</v>
      </c>
      <c r="C2" s="6" t="s">
        <v>381</v>
      </c>
      <c r="D2" s="6" t="s">
        <v>382</v>
      </c>
      <c r="E2" t="str">
        <f>_xlfn.REGEXREPLACE(REPLACE(C2,1,8,"")," DEX.+","",,1)</f>
        <v>RKWA</v>
      </c>
    </row>
    <row r="3" spans="1:5" ht="16.5" customHeight="1" x14ac:dyDescent="0.25">
      <c r="A3" s="6">
        <v>1</v>
      </c>
      <c r="B3" s="6">
        <v>10967460</v>
      </c>
      <c r="C3" s="6" t="s">
        <v>383</v>
      </c>
      <c r="D3" s="6" t="s">
        <v>384</v>
      </c>
      <c r="E3" t="str">
        <f t="shared" ref="E3:E57" si="0">_xlfn.REGEXREPLACE(REPLACE(C3,1,8,"")," DEX.+","",,1)</f>
        <v>RBKP</v>
      </c>
    </row>
    <row r="4" spans="1:5" ht="16.5" customHeight="1" x14ac:dyDescent="0.25">
      <c r="A4" s="6">
        <v>2</v>
      </c>
      <c r="B4" s="6">
        <v>10967463</v>
      </c>
      <c r="C4" s="6" t="s">
        <v>385</v>
      </c>
      <c r="D4" s="6" t="s">
        <v>386</v>
      </c>
      <c r="E4" t="str">
        <f t="shared" si="0"/>
        <v>QBEW</v>
      </c>
    </row>
    <row r="5" spans="1:5" ht="16.5" customHeight="1" x14ac:dyDescent="0.25">
      <c r="A5" s="6">
        <v>3</v>
      </c>
      <c r="B5" s="6">
        <v>10967464</v>
      </c>
      <c r="C5" s="6" t="s">
        <v>387</v>
      </c>
      <c r="D5" s="6" t="s">
        <v>388</v>
      </c>
      <c r="E5" t="str">
        <f t="shared" si="0"/>
        <v>MVER</v>
      </c>
    </row>
    <row r="6" spans="1:5" ht="16.5" customHeight="1" x14ac:dyDescent="0.25">
      <c r="A6" s="6">
        <v>4</v>
      </c>
      <c r="B6" s="6">
        <v>10967467</v>
      </c>
      <c r="C6" s="6" t="s">
        <v>389</v>
      </c>
      <c r="D6" s="6" t="s">
        <v>390</v>
      </c>
      <c r="E6" t="str">
        <f t="shared" si="0"/>
        <v>MSPR</v>
      </c>
    </row>
    <row r="7" spans="1:5" ht="16.5" customHeight="1" x14ac:dyDescent="0.25">
      <c r="A7" s="6">
        <v>5</v>
      </c>
      <c r="B7" s="6">
        <v>10967473</v>
      </c>
      <c r="C7" s="6" t="s">
        <v>391</v>
      </c>
      <c r="D7" s="6" t="s">
        <v>392</v>
      </c>
      <c r="E7" t="str">
        <f t="shared" si="0"/>
        <v>MSSL</v>
      </c>
    </row>
    <row r="8" spans="1:5" ht="16.5" customHeight="1" x14ac:dyDescent="0.25">
      <c r="A8" s="6">
        <v>6</v>
      </c>
      <c r="B8" s="6">
        <v>10967474</v>
      </c>
      <c r="C8" s="6" t="s">
        <v>393</v>
      </c>
      <c r="D8" s="6" t="s">
        <v>394</v>
      </c>
      <c r="E8" t="str">
        <f t="shared" si="0"/>
        <v>MSLB</v>
      </c>
    </row>
    <row r="9" spans="1:5" ht="16.5" customHeight="1" x14ac:dyDescent="0.25">
      <c r="A9" s="6">
        <v>7</v>
      </c>
      <c r="B9" s="6">
        <v>10967475</v>
      </c>
      <c r="C9" s="6" t="s">
        <v>395</v>
      </c>
      <c r="D9" s="6" t="s">
        <v>396</v>
      </c>
      <c r="E9" t="str">
        <f t="shared" si="0"/>
        <v>MSKU</v>
      </c>
    </row>
    <row r="10" spans="1:5" ht="16.5" customHeight="1" x14ac:dyDescent="0.25">
      <c r="A10" s="6">
        <v>8</v>
      </c>
      <c r="B10" s="6">
        <v>10967476</v>
      </c>
      <c r="C10" s="6" t="s">
        <v>397</v>
      </c>
      <c r="D10" s="6" t="s">
        <v>398</v>
      </c>
      <c r="E10" t="str">
        <f t="shared" si="0"/>
        <v>MSKA</v>
      </c>
    </row>
    <row r="11" spans="1:5" ht="16.5" customHeight="1" x14ac:dyDescent="0.25">
      <c r="A11" s="6">
        <v>9</v>
      </c>
      <c r="B11" s="6">
        <v>10967478</v>
      </c>
      <c r="C11" s="6" t="s">
        <v>399</v>
      </c>
      <c r="D11" s="6" t="s">
        <v>400</v>
      </c>
      <c r="E11" t="str">
        <f t="shared" si="0"/>
        <v>MSEG</v>
      </c>
    </row>
    <row r="12" spans="1:5" ht="16.5" customHeight="1" x14ac:dyDescent="0.25">
      <c r="A12" s="6">
        <v>10</v>
      </c>
      <c r="B12" s="6">
        <v>10967479</v>
      </c>
      <c r="C12" s="6" t="s">
        <v>401</v>
      </c>
      <c r="D12" s="6" t="s">
        <v>402</v>
      </c>
      <c r="E12" t="str">
        <f t="shared" si="0"/>
        <v>MKPF</v>
      </c>
    </row>
    <row r="13" spans="1:5" ht="16.5" customHeight="1" x14ac:dyDescent="0.25">
      <c r="A13" s="6">
        <v>11</v>
      </c>
      <c r="B13" s="6">
        <v>10967481</v>
      </c>
      <c r="C13" s="6" t="s">
        <v>403</v>
      </c>
      <c r="D13" s="6" t="s">
        <v>404</v>
      </c>
      <c r="E13" t="str">
        <f t="shared" si="0"/>
        <v>MKOL</v>
      </c>
    </row>
    <row r="14" spans="1:5" ht="16.5" customHeight="1" x14ac:dyDescent="0.25">
      <c r="A14" s="6">
        <v>12</v>
      </c>
      <c r="B14" s="6">
        <v>10967482</v>
      </c>
      <c r="C14" s="6" t="s">
        <v>405</v>
      </c>
      <c r="D14" s="6" t="s">
        <v>406</v>
      </c>
      <c r="E14" t="str">
        <f t="shared" si="0"/>
        <v>MCHB</v>
      </c>
    </row>
    <row r="15" spans="1:5" ht="16.5" customHeight="1" x14ac:dyDescent="0.25">
      <c r="A15" s="6">
        <v>13</v>
      </c>
      <c r="B15" s="6">
        <v>10967483</v>
      </c>
      <c r="C15" s="6" t="s">
        <v>407</v>
      </c>
      <c r="D15" s="6" t="s">
        <v>408</v>
      </c>
      <c r="E15" t="str">
        <f t="shared" si="0"/>
        <v>MCHA</v>
      </c>
    </row>
    <row r="16" spans="1:5" ht="16.5" customHeight="1" x14ac:dyDescent="0.25">
      <c r="A16" s="6">
        <v>14</v>
      </c>
      <c r="B16" s="6">
        <v>10967484</v>
      </c>
      <c r="C16" s="6" t="s">
        <v>409</v>
      </c>
      <c r="D16" s="6" t="s">
        <v>410</v>
      </c>
      <c r="E16" t="str">
        <f t="shared" si="0"/>
        <v>MCH1</v>
      </c>
    </row>
    <row r="17" spans="1:5" ht="16.5" customHeight="1" x14ac:dyDescent="0.25">
      <c r="A17" s="6">
        <v>15</v>
      </c>
      <c r="B17" s="6">
        <v>10967486</v>
      </c>
      <c r="C17" s="6" t="s">
        <v>411</v>
      </c>
      <c r="D17" s="6" t="s">
        <v>412</v>
      </c>
      <c r="E17" t="str">
        <f t="shared" si="0"/>
        <v>MARD</v>
      </c>
    </row>
    <row r="18" spans="1:5" ht="16.5" customHeight="1" x14ac:dyDescent="0.25">
      <c r="A18" s="6">
        <v>16</v>
      </c>
      <c r="B18" s="6">
        <v>10967487</v>
      </c>
      <c r="C18" s="6" t="s">
        <v>413</v>
      </c>
      <c r="D18" s="6" t="s">
        <v>414</v>
      </c>
      <c r="E18" t="str">
        <f t="shared" si="0"/>
        <v>KONA</v>
      </c>
    </row>
    <row r="19" spans="1:5" ht="16.5" customHeight="1" x14ac:dyDescent="0.25">
      <c r="A19" s="6">
        <v>17</v>
      </c>
      <c r="B19" s="6">
        <v>10967488</v>
      </c>
      <c r="C19" s="6" t="s">
        <v>415</v>
      </c>
      <c r="D19" s="6" t="s">
        <v>416</v>
      </c>
      <c r="E19" t="str">
        <f t="shared" si="0"/>
        <v>HUMSEG</v>
      </c>
    </row>
    <row r="20" spans="1:5" ht="16.5" customHeight="1" x14ac:dyDescent="0.25">
      <c r="A20" s="6">
        <v>18</v>
      </c>
      <c r="B20" s="6">
        <v>10967492</v>
      </c>
      <c r="C20" s="6" t="s">
        <v>417</v>
      </c>
      <c r="D20" s="6" t="s">
        <v>418</v>
      </c>
      <c r="E20" t="str">
        <f t="shared" si="0"/>
        <v>ESLL</v>
      </c>
    </row>
    <row r="21" spans="1:5" ht="16.5" customHeight="1" x14ac:dyDescent="0.25">
      <c r="A21" s="6">
        <v>19</v>
      </c>
      <c r="B21" s="6">
        <v>10967494</v>
      </c>
      <c r="C21" s="6" t="s">
        <v>419</v>
      </c>
      <c r="D21" s="6" t="s">
        <v>420</v>
      </c>
      <c r="E21" t="str">
        <f t="shared" si="0"/>
        <v>EQUP</v>
      </c>
    </row>
    <row r="22" spans="1:5" ht="16.5" customHeight="1" x14ac:dyDescent="0.25">
      <c r="A22" s="6">
        <v>20</v>
      </c>
      <c r="B22" s="6">
        <v>10967495</v>
      </c>
      <c r="C22" s="6" t="s">
        <v>421</v>
      </c>
      <c r="D22" s="6" t="s">
        <v>422</v>
      </c>
      <c r="E22" t="str">
        <f t="shared" si="0"/>
        <v>EQUK</v>
      </c>
    </row>
    <row r="23" spans="1:5" ht="16.5" customHeight="1" x14ac:dyDescent="0.25">
      <c r="A23" s="6">
        <v>21</v>
      </c>
      <c r="B23" s="6">
        <v>10967496</v>
      </c>
      <c r="C23" s="6" t="s">
        <v>423</v>
      </c>
      <c r="D23" s="6" t="s">
        <v>424</v>
      </c>
      <c r="E23" t="str">
        <f t="shared" si="0"/>
        <v>EKPO</v>
      </c>
    </row>
    <row r="24" spans="1:5" ht="16.5" customHeight="1" x14ac:dyDescent="0.25">
      <c r="A24" s="6">
        <v>22</v>
      </c>
      <c r="B24" s="6">
        <v>10967497</v>
      </c>
      <c r="C24" s="6" t="s">
        <v>425</v>
      </c>
      <c r="D24" s="6" t="s">
        <v>426</v>
      </c>
      <c r="E24" t="str">
        <f t="shared" si="0"/>
        <v>EKKO</v>
      </c>
    </row>
    <row r="25" spans="1:5" ht="16.5" customHeight="1" x14ac:dyDescent="0.25">
      <c r="A25" s="6">
        <v>23</v>
      </c>
      <c r="B25" s="6">
        <v>10967498</v>
      </c>
      <c r="C25" s="6" t="s">
        <v>427</v>
      </c>
      <c r="D25" s="6" t="s">
        <v>428</v>
      </c>
      <c r="E25" t="str">
        <f t="shared" si="0"/>
        <v>EKPA</v>
      </c>
    </row>
    <row r="26" spans="1:5" ht="16.5" customHeight="1" x14ac:dyDescent="0.25">
      <c r="A26" s="6">
        <v>24</v>
      </c>
      <c r="B26" s="6">
        <v>10967499</v>
      </c>
      <c r="C26" s="6" t="s">
        <v>429</v>
      </c>
      <c r="D26" s="6" t="s">
        <v>430</v>
      </c>
      <c r="E26" t="str">
        <f t="shared" si="0"/>
        <v>EKKN</v>
      </c>
    </row>
    <row r="27" spans="1:5" ht="16.5" customHeight="1" x14ac:dyDescent="0.25">
      <c r="A27" s="6">
        <v>25</v>
      </c>
      <c r="B27" s="6">
        <v>10967501</v>
      </c>
      <c r="C27" s="6" t="s">
        <v>431</v>
      </c>
      <c r="D27" s="6" t="s">
        <v>432</v>
      </c>
      <c r="E27" t="str">
        <f t="shared" si="0"/>
        <v>EKET</v>
      </c>
    </row>
    <row r="28" spans="1:5" ht="16.5" customHeight="1" x14ac:dyDescent="0.25">
      <c r="A28" s="6">
        <v>26</v>
      </c>
      <c r="B28" s="6">
        <v>10967503</v>
      </c>
      <c r="C28" s="6" t="s">
        <v>433</v>
      </c>
      <c r="D28" s="6" t="s">
        <v>434</v>
      </c>
      <c r="E28" t="str">
        <f t="shared" si="0"/>
        <v>EKES</v>
      </c>
    </row>
    <row r="29" spans="1:5" ht="16.5" customHeight="1" x14ac:dyDescent="0.25">
      <c r="A29" s="6">
        <v>27</v>
      </c>
      <c r="B29" s="6">
        <v>10967504</v>
      </c>
      <c r="C29" s="6" t="s">
        <v>435</v>
      </c>
      <c r="D29" s="6" t="s">
        <v>436</v>
      </c>
      <c r="E29" t="str">
        <f t="shared" si="0"/>
        <v>EKBE</v>
      </c>
    </row>
    <row r="30" spans="1:5" ht="16.5" customHeight="1" x14ac:dyDescent="0.25">
      <c r="A30" s="6">
        <v>28</v>
      </c>
      <c r="B30" s="6">
        <v>10967505</v>
      </c>
      <c r="C30" s="6" t="s">
        <v>437</v>
      </c>
      <c r="D30" s="6" t="s">
        <v>438</v>
      </c>
      <c r="E30" t="str">
        <f t="shared" si="0"/>
        <v>EINE</v>
      </c>
    </row>
    <row r="31" spans="1:5" ht="16.5" customHeight="1" x14ac:dyDescent="0.25">
      <c r="A31" s="6">
        <v>29</v>
      </c>
      <c r="B31" s="6">
        <v>10967506</v>
      </c>
      <c r="C31" s="6" t="s">
        <v>439</v>
      </c>
      <c r="D31" s="6" t="s">
        <v>440</v>
      </c>
      <c r="E31" t="str">
        <f t="shared" si="0"/>
        <v>EINA</v>
      </c>
    </row>
    <row r="32" spans="1:5" ht="16.5" customHeight="1" x14ac:dyDescent="0.25">
      <c r="A32" s="6">
        <v>30</v>
      </c>
      <c r="B32" s="6">
        <v>10967507</v>
      </c>
      <c r="C32" s="6" t="s">
        <v>441</v>
      </c>
      <c r="D32" s="6" t="s">
        <v>442</v>
      </c>
      <c r="E32" t="str">
        <f t="shared" si="0"/>
        <v>EBKN</v>
      </c>
    </row>
    <row r="33" spans="1:5" ht="16.5" customHeight="1" x14ac:dyDescent="0.25">
      <c r="A33" s="6">
        <v>31</v>
      </c>
      <c r="B33" s="6">
        <v>10967508</v>
      </c>
      <c r="C33" s="6" t="s">
        <v>443</v>
      </c>
      <c r="D33" s="6" t="s">
        <v>444</v>
      </c>
      <c r="E33" t="str">
        <f t="shared" si="0"/>
        <v>EBEW</v>
      </c>
    </row>
    <row r="34" spans="1:5" ht="16.5" customHeight="1" x14ac:dyDescent="0.25">
      <c r="A34" s="6">
        <v>32</v>
      </c>
      <c r="B34" s="6">
        <v>10967509</v>
      </c>
      <c r="C34" s="6" t="s">
        <v>445</v>
      </c>
      <c r="D34" s="6" t="s">
        <v>446</v>
      </c>
      <c r="E34" t="str">
        <f t="shared" si="0"/>
        <v>EBAN</v>
      </c>
    </row>
    <row r="35" spans="1:5" ht="16.5" customHeight="1" x14ac:dyDescent="0.25">
      <c r="A35" s="6">
        <v>33</v>
      </c>
      <c r="B35" s="6">
        <v>10967510</v>
      </c>
      <c r="C35" s="6" t="s">
        <v>447</v>
      </c>
      <c r="D35" s="6" t="s">
        <v>448</v>
      </c>
      <c r="E35" t="str">
        <f t="shared" si="0"/>
        <v>B049</v>
      </c>
    </row>
    <row r="36" spans="1:5" ht="16.5" customHeight="1" x14ac:dyDescent="0.25">
      <c r="A36" s="6">
        <v>34</v>
      </c>
      <c r="B36" s="6">
        <v>10967511</v>
      </c>
      <c r="C36" s="6" t="s">
        <v>449</v>
      </c>
      <c r="D36" s="6" t="s">
        <v>450</v>
      </c>
      <c r="E36" t="str">
        <f t="shared" si="0"/>
        <v>B048</v>
      </c>
    </row>
    <row r="37" spans="1:5" ht="16.5" customHeight="1" x14ac:dyDescent="0.25">
      <c r="A37" s="6">
        <v>35</v>
      </c>
      <c r="B37" s="6">
        <v>10967512</v>
      </c>
      <c r="C37" s="6" t="s">
        <v>451</v>
      </c>
      <c r="D37" s="6" t="s">
        <v>452</v>
      </c>
      <c r="E37" t="str">
        <f t="shared" si="0"/>
        <v>B027</v>
      </c>
    </row>
    <row r="38" spans="1:5" ht="16.5" customHeight="1" x14ac:dyDescent="0.25">
      <c r="A38" s="6">
        <v>36</v>
      </c>
      <c r="B38" s="6">
        <v>10967514</v>
      </c>
      <c r="C38" s="6" t="s">
        <v>453</v>
      </c>
      <c r="D38" s="6" t="s">
        <v>454</v>
      </c>
      <c r="E38" t="str">
        <f t="shared" si="0"/>
        <v>B025</v>
      </c>
    </row>
    <row r="39" spans="1:5" ht="16.5" customHeight="1" x14ac:dyDescent="0.25">
      <c r="A39" s="6">
        <v>37</v>
      </c>
      <c r="B39" s="6">
        <v>10967517</v>
      </c>
      <c r="C39" s="6" t="s">
        <v>455</v>
      </c>
      <c r="D39" s="6" t="s">
        <v>456</v>
      </c>
      <c r="E39" t="str">
        <f t="shared" si="0"/>
        <v>A919</v>
      </c>
    </row>
    <row r="40" spans="1:5" ht="16.5" customHeight="1" x14ac:dyDescent="0.25">
      <c r="A40" s="6">
        <v>38</v>
      </c>
      <c r="B40" s="6">
        <v>10967518</v>
      </c>
      <c r="C40" s="6" t="s">
        <v>457</v>
      </c>
      <c r="D40" s="6" t="s">
        <v>458</v>
      </c>
      <c r="E40" t="str">
        <f t="shared" si="0"/>
        <v>A915</v>
      </c>
    </row>
    <row r="41" spans="1:5" ht="16.5" customHeight="1" x14ac:dyDescent="0.25">
      <c r="A41" s="6">
        <v>39</v>
      </c>
      <c r="B41" s="6">
        <v>10967519</v>
      </c>
      <c r="C41" s="6" t="s">
        <v>459</v>
      </c>
      <c r="D41" s="6" t="s">
        <v>460</v>
      </c>
      <c r="E41" t="str">
        <f t="shared" si="0"/>
        <v>A725</v>
      </c>
    </row>
    <row r="42" spans="1:5" ht="16.5" customHeight="1" x14ac:dyDescent="0.25">
      <c r="A42" s="6">
        <v>40</v>
      </c>
      <c r="B42" s="6">
        <v>10967521</v>
      </c>
      <c r="C42" s="6" t="s">
        <v>461</v>
      </c>
      <c r="D42" s="6" t="s">
        <v>462</v>
      </c>
      <c r="E42" t="str">
        <f t="shared" si="0"/>
        <v>A619</v>
      </c>
    </row>
    <row r="43" spans="1:5" ht="16.5" customHeight="1" x14ac:dyDescent="0.25">
      <c r="A43" s="6">
        <v>41</v>
      </c>
      <c r="B43" s="6">
        <v>10967522</v>
      </c>
      <c r="C43" s="6" t="s">
        <v>463</v>
      </c>
      <c r="D43" s="6" t="s">
        <v>464</v>
      </c>
      <c r="E43" t="str">
        <f t="shared" si="0"/>
        <v>A044</v>
      </c>
    </row>
    <row r="44" spans="1:5" ht="16.5" customHeight="1" x14ac:dyDescent="0.25">
      <c r="A44" s="6">
        <v>42</v>
      </c>
      <c r="B44" s="6">
        <v>10967523</v>
      </c>
      <c r="C44" s="6" t="s">
        <v>465</v>
      </c>
      <c r="D44" s="6" t="s">
        <v>466</v>
      </c>
      <c r="E44" t="str">
        <f t="shared" si="0"/>
        <v>A018</v>
      </c>
    </row>
    <row r="45" spans="1:5" ht="16.5" customHeight="1" x14ac:dyDescent="0.25">
      <c r="A45" s="6">
        <v>43</v>
      </c>
      <c r="B45" s="6">
        <v>10967525</v>
      </c>
      <c r="C45" s="6" t="s">
        <v>467</v>
      </c>
      <c r="D45" s="6" t="s">
        <v>468</v>
      </c>
      <c r="E45" t="str">
        <f t="shared" si="0"/>
        <v>A017</v>
      </c>
    </row>
    <row r="46" spans="1:5" ht="16.5" customHeight="1" x14ac:dyDescent="0.25">
      <c r="A46" s="6">
        <v>44</v>
      </c>
      <c r="B46" s="6">
        <v>10967527</v>
      </c>
      <c r="C46" s="6" t="s">
        <v>469</v>
      </c>
      <c r="D46" s="6" t="s">
        <v>470</v>
      </c>
      <c r="E46" t="str">
        <f t="shared" si="0"/>
        <v>A016</v>
      </c>
    </row>
    <row r="47" spans="1:5" ht="16.5" customHeight="1" x14ac:dyDescent="0.25">
      <c r="A47" s="6">
        <v>45</v>
      </c>
      <c r="B47" s="6">
        <v>10967528</v>
      </c>
      <c r="C47" s="6" t="s">
        <v>471</v>
      </c>
      <c r="D47" s="6" t="s">
        <v>472</v>
      </c>
      <c r="E47" t="str">
        <f t="shared" si="0"/>
        <v>/WUE/MP_ZSVW_ACC</v>
      </c>
    </row>
    <row r="48" spans="1:5" ht="16.5" customHeight="1" x14ac:dyDescent="0.25">
      <c r="A48" s="6">
        <v>46</v>
      </c>
      <c r="B48" s="6">
        <v>10967530</v>
      </c>
      <c r="C48" s="6" t="s">
        <v>473</v>
      </c>
      <c r="D48" s="6" t="s">
        <v>474</v>
      </c>
      <c r="E48" t="str">
        <f t="shared" si="0"/>
        <v>/WUE/MMV_WKBASKE</v>
      </c>
    </row>
    <row r="49" spans="1:5" ht="16.5" customHeight="1" x14ac:dyDescent="0.25">
      <c r="A49" s="6">
        <v>47</v>
      </c>
      <c r="B49" s="6">
        <v>10967531</v>
      </c>
      <c r="C49" s="6" t="s">
        <v>475</v>
      </c>
      <c r="D49" s="6" t="s">
        <v>476</v>
      </c>
      <c r="E49" t="str">
        <f t="shared" si="0"/>
        <v>/WUE/MMV_TMSTAMP</v>
      </c>
    </row>
    <row r="50" spans="1:5" ht="16.5" customHeight="1" x14ac:dyDescent="0.25">
      <c r="A50" s="6">
        <v>48</v>
      </c>
      <c r="B50" s="6">
        <v>10967533</v>
      </c>
      <c r="C50" s="6" t="s">
        <v>477</v>
      </c>
      <c r="D50" s="6" t="s">
        <v>478</v>
      </c>
      <c r="E50" t="str">
        <f t="shared" si="0"/>
        <v>/WUE/MMV_NRVPROT</v>
      </c>
    </row>
    <row r="51" spans="1:5" ht="16.5" customHeight="1" x14ac:dyDescent="0.25">
      <c r="A51" s="6">
        <v>49</v>
      </c>
      <c r="B51" s="6">
        <v>10967534</v>
      </c>
      <c r="C51" s="6" t="s">
        <v>479</v>
      </c>
      <c r="D51" s="6" t="s">
        <v>480</v>
      </c>
      <c r="E51" t="str">
        <f t="shared" si="0"/>
        <v>/WUE/MMDIAB_PMAT</v>
      </c>
    </row>
    <row r="52" spans="1:5" ht="16.5" customHeight="1" x14ac:dyDescent="0.25">
      <c r="A52" s="6">
        <v>50</v>
      </c>
      <c r="B52" s="6">
        <v>10967538</v>
      </c>
      <c r="C52" s="6" t="s">
        <v>481</v>
      </c>
      <c r="D52" s="6" t="s">
        <v>482</v>
      </c>
      <c r="E52" t="str">
        <f t="shared" si="0"/>
        <v>/WUE/MMC_PL_PO_P</v>
      </c>
    </row>
    <row r="53" spans="1:5" ht="16.5" customHeight="1" x14ac:dyDescent="0.25">
      <c r="A53" s="6">
        <v>51</v>
      </c>
      <c r="B53" s="6">
        <v>10967539</v>
      </c>
      <c r="C53" s="6" t="s">
        <v>483</v>
      </c>
      <c r="D53" s="6" t="s">
        <v>484</v>
      </c>
      <c r="E53" t="str">
        <f t="shared" si="0"/>
        <v>/WUE/BATNUM_IND</v>
      </c>
    </row>
    <row r="54" spans="1:5" ht="16.5" customHeight="1" x14ac:dyDescent="0.25">
      <c r="A54" s="6">
        <v>52</v>
      </c>
      <c r="B54" s="6">
        <v>10967541</v>
      </c>
      <c r="C54" s="6" t="s">
        <v>485</v>
      </c>
      <c r="D54" s="6" t="s">
        <v>486</v>
      </c>
      <c r="E54" t="str">
        <f t="shared" si="0"/>
        <v>/WRP/MP_INBIDD</v>
      </c>
    </row>
    <row r="55" spans="1:5" ht="16.5" customHeight="1" x14ac:dyDescent="0.25">
      <c r="A55" s="6">
        <v>53</v>
      </c>
      <c r="B55" s="6">
        <v>10967542</v>
      </c>
      <c r="C55" s="6" t="s">
        <v>487</v>
      </c>
      <c r="D55" s="6" t="s">
        <v>488</v>
      </c>
      <c r="E55" t="str">
        <f t="shared" si="0"/>
        <v>/SAPLOM/X__RELEV</v>
      </c>
    </row>
    <row r="56" spans="1:5" ht="16.5" customHeight="1" x14ac:dyDescent="0.25">
      <c r="A56" s="6">
        <v>54</v>
      </c>
      <c r="B56" s="6">
        <v>10967543</v>
      </c>
      <c r="C56" s="6" t="s">
        <v>489</v>
      </c>
      <c r="D56" s="6" t="s">
        <v>490</v>
      </c>
      <c r="E56" t="str">
        <f t="shared" si="0"/>
        <v>/SAPLOM/X__BELEG</v>
      </c>
    </row>
    <row r="57" spans="1:5" ht="16.5" customHeight="1" x14ac:dyDescent="0.25">
      <c r="A57" s="6">
        <v>55</v>
      </c>
      <c r="B57" s="6">
        <v>10967544</v>
      </c>
      <c r="C57" s="6" t="s">
        <v>491</v>
      </c>
      <c r="D57" s="6" t="s">
        <v>492</v>
      </c>
      <c r="E57" t="str">
        <f t="shared" si="0"/>
        <v>/WRP/MPDEVSTSUM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0C431C-F506-4CEB-8D80-78AE6FD4B9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List1</vt:lpstr>
      <vt:lpstr>Tabelle1</vt:lpstr>
      <vt:lpstr>Tabelle2</vt:lpstr>
      <vt:lpstr>erlaubt</vt:lpstr>
      <vt:lpstr>convertcsv</vt:lpstr>
      <vt:lpstr>Tabelle3</vt:lpstr>
      <vt:lpstr>Tabelle5</vt:lpstr>
      <vt:lpstr>Tabelle4</vt:lpstr>
      <vt:lpstr>ergebnis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Knausenberger, Dennis</dc:creator>
  <cp:lastModifiedBy>Knausenberger, Dennis</cp:lastModifiedBy>
  <dcterms:created xsi:type="dcterms:W3CDTF">2015-06-05T18:19:34Z</dcterms:created>
  <dcterms:modified xsi:type="dcterms:W3CDTF">2025-09-15T18:52:50Z</dcterms:modified>
</cp:coreProperties>
</file>